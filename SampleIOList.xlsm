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G:\Python\MatrixGeneratorv2\pcs7-app\"/>
    </mc:Choice>
  </mc:AlternateContent>
  <xr:revisionPtr revIDLastSave="0" documentId="13_ncr:1_{C1090430-0DBF-41AA-9F5A-C0ACC197E970}" xr6:coauthVersionLast="47" xr6:coauthVersionMax="47" xr10:uidLastSave="{00000000-0000-0000-0000-000000000000}"/>
  <bookViews>
    <workbookView xWindow="-38520" yWindow="-120" windowWidth="38640" windowHeight="21120" tabRatio="763" xr2:uid="{00000000-000D-0000-FFFF-FFFF00000000}"/>
  </bookViews>
  <sheets>
    <sheet name="IO-Liste" sheetId="48" r:id="rId1"/>
    <sheet name="Legend" sheetId="49" r:id="rId2"/>
  </sheets>
  <externalReferences>
    <externalReference r:id="rId3"/>
    <externalReference r:id="rId4"/>
    <externalReference r:id="rId5"/>
  </externalReferences>
  <definedNames>
    <definedName name="_xlnm._FilterDatabase" localSheetId="0" hidden="1">'IO-Liste'!#REF!</definedName>
    <definedName name="_xleta.TYPE" hidden="1" xlm="1">#NAME?</definedName>
    <definedName name="AI">[1]!Tabelle2[[Auswahl 1]:[Auswahl 11]]</definedName>
    <definedName name="Alarmaktivierung">#REF!</definedName>
    <definedName name="Ctrl">[1]!Tabelle2[[Auswahl 1]:[Auswahl 11]]</definedName>
    <definedName name="CtrlVLV">[1]!Tabelle2[[Auswahl 1]:[Auswahl 11]]</definedName>
    <definedName name="DI">[1]!Tabelle2[[Auswahl 1]:[Auswahl 11]]</definedName>
    <definedName name="DO">[1]!Tabelle2[[Auswahl 1]:[Auswahl 11]]</definedName>
    <definedName name="FU">#REF!</definedName>
    <definedName name="Hygiene">#REF!</definedName>
    <definedName name="KritAl">[1]!Tabelle2[[Auswahl 1]:[Auswahl 11]]</definedName>
    <definedName name="Linearisierung">[2]!Tabelle2[[Auswahl 1]:[Auswahl 11]]</definedName>
    <definedName name="Mot">[1]!Tabelle2[[Auswahl 1]:[Auswahl 11]]</definedName>
    <definedName name="MOTOR">[1]!Tabelle2[[Auswahl 1]:[Auswahl 11]]</definedName>
    <definedName name="SW_AI">#REF!</definedName>
    <definedName name="Typ">#REF!</definedName>
    <definedName name="Typin">[3]!Tabelle2[[Auswahl 1]:[Auswahl 11]]</definedName>
    <definedName name="Unit">[1]!Tabelle2[[Auswahl 1]:[Auswahl 11]]</definedName>
    <definedName name="Unit3">#REF!</definedName>
    <definedName name="VLV">[1]!Tabelle2[[Auswahl 1]:[Auswahl 11]]</definedName>
    <definedName name="WEIGHT">[1]!Tabelle2[[Auswahl 1]:[Auswahl 11]]</definedName>
    <definedName name="WIC">[1]!Tabelle2[[Auswahl 1]:[Auswahl 11]]</definedName>
  </definedNames>
  <calcPr calcId="191029"/>
  <customWorkbookViews>
    <customWorkbookView name="atw12mw6 - Persönliche Ansicht" guid="{055AB9CC-F093-4E8A-9D28-F3A4246F6D8A}" mergeInterval="0" personalView="1" maximized="1" windowWidth="1014" windowHeight="548" activeSheetId="1"/>
    <customWorkbookView name="User01 - Persönliche Ansicht" guid="{F719EBA4-6054-45F5-BDF6-8263338B5249}" mergeInterval="0" personalView="1" maximized="1" xWindow="1" yWindow="1" windowWidth="1916" windowHeight="850" activeSheetId="2"/>
    <customWorkbookView name="Martin Glaser - Persönliche Ansicht" guid="{A11001B1-B29E-437C-A5BB-2B3DE346BAE9}" mergeInterval="0" personalView="1" maximized="1" xWindow="1" yWindow="1" windowWidth="1920" windowHeight="849" activeSheetId="4"/>
    <customWorkbookView name="Peter Pfarrhofer - Persönliche Ansicht" guid="{68BA7F0E-18FB-4346-AE9D-34C574F8C1C8}" mergeInterval="0" personalView="1" xWindow="9" yWindow="31" windowWidth="1512" windowHeight="893" activeSheetId="2"/>
    <customWorkbookView name="Harald Petrmichl - Persönliche Ansicht" guid="{FA269859-A4FC-4DCA-A227-D28FA9121DD0}" mergeInterval="0" personalView="1" maximized="1" windowWidth="1920" windowHeight="944" activeSheetId="2" showComments="commIndAndComment"/>
    <customWorkbookView name="z003bt2f - Persönliche Ansicht" guid="{AB52654B-E2F4-4C21-A14E-06AF022C0AC4}" mergeInterval="0" personalView="1" maximized="1" xWindow="1" yWindow="1" windowWidth="1920" windowHeight="85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48" l="1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K7" i="48"/>
  <c r="K3" i="48"/>
  <c r="K4" i="48"/>
  <c r="K5" i="48"/>
  <c r="K6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" i="48"/>
  <c r="L15" i="48" l="1"/>
  <c r="L16" i="48"/>
  <c r="L17" i="48"/>
  <c r="L18" i="48"/>
  <c r="L19" i="48"/>
  <c r="L20" i="48"/>
  <c r="L13" i="48"/>
  <c r="L14" i="48"/>
  <c r="L7" i="48" l="1"/>
  <c r="L3" i="48" l="1"/>
  <c r="L4" i="48"/>
  <c r="L5" i="48"/>
  <c r="L6" i="48"/>
  <c r="L8" i="48"/>
  <c r="L9" i="48"/>
  <c r="L10" i="48"/>
  <c r="L11" i="48"/>
  <c r="L12" i="48"/>
  <c r="L2" i="48"/>
</calcChain>
</file>

<file path=xl/sharedStrings.xml><?xml version="1.0" encoding="utf-8"?>
<sst xmlns="http://schemas.openxmlformats.org/spreadsheetml/2006/main" count="453" uniqueCount="107">
  <si>
    <t>Cur. Number</t>
  </si>
  <si>
    <t>Postfix</t>
  </si>
  <si>
    <t>Description Postfix</t>
  </si>
  <si>
    <t>Tag CM</t>
  </si>
  <si>
    <t>Tag Description_DCS</t>
  </si>
  <si>
    <t>Measuring range min</t>
  </si>
  <si>
    <t>Measuring range max</t>
  </si>
  <si>
    <t>digits</t>
  </si>
  <si>
    <t>Signal Type</t>
  </si>
  <si>
    <t>DI</t>
  </si>
  <si>
    <t>DO</t>
  </si>
  <si>
    <t>AS</t>
  </si>
  <si>
    <t>Cabinet</t>
  </si>
  <si>
    <t>CardType</t>
  </si>
  <si>
    <t>Card Slot</t>
  </si>
  <si>
    <t>Channel</t>
  </si>
  <si>
    <t>SymbolName</t>
  </si>
  <si>
    <t>SymbolComment</t>
  </si>
  <si>
    <t>last Change</t>
  </si>
  <si>
    <t>Unit of Measurement Instrument</t>
  </si>
  <si>
    <t>Unit of Measurement</t>
  </si>
  <si>
    <t>_OUT</t>
  </si>
  <si>
    <t>_FBO</t>
  </si>
  <si>
    <t>Profinet IP</t>
  </si>
  <si>
    <t>Min. Instrument range</t>
  </si>
  <si>
    <t>Max. Instrument range</t>
  </si>
  <si>
    <t>Unit PCS7</t>
  </si>
  <si>
    <t>Valve NO/NC</t>
  </si>
  <si>
    <t>NC</t>
  </si>
  <si>
    <t>C001</t>
  </si>
  <si>
    <t>IM type</t>
  </si>
  <si>
    <t>Station MLFB</t>
  </si>
  <si>
    <t>IM 155-6 PN/2 HF</t>
  </si>
  <si>
    <t>6ES7155-6AU01-0CN0</t>
  </si>
  <si>
    <t>Module</t>
  </si>
  <si>
    <t>IM (Slot)</t>
  </si>
  <si>
    <t>Module connected to Scalance</t>
  </si>
  <si>
    <t>Module name</t>
  </si>
  <si>
    <t>Card name</t>
  </si>
  <si>
    <t>Card reference</t>
  </si>
  <si>
    <t>ET200SP Module</t>
  </si>
  <si>
    <t>950KE1</t>
  </si>
  <si>
    <t>6ES7131-6BH01-0BA0</t>
  </si>
  <si>
    <t>192.168.1.1</t>
  </si>
  <si>
    <t>U010</t>
  </si>
  <si>
    <t>Command</t>
  </si>
  <si>
    <t>Product inlet valve</t>
  </si>
  <si>
    <t>Discharge valve</t>
  </si>
  <si>
    <t>Tank inlet valve</t>
  </si>
  <si>
    <t>Vent valve</t>
  </si>
  <si>
    <t>6ES7132-6BH01-0BA0</t>
  </si>
  <si>
    <t>Process cell</t>
  </si>
  <si>
    <t>Area</t>
  </si>
  <si>
    <t>DE1</t>
  </si>
  <si>
    <t>_PV</t>
  </si>
  <si>
    <t>Process value</t>
  </si>
  <si>
    <t>6ES7134-6HD01-0BA1</t>
  </si>
  <si>
    <t>6ES7135-6HD00-0BA1</t>
  </si>
  <si>
    <t>AI</t>
  </si>
  <si>
    <t>AO</t>
  </si>
  <si>
    <t>Temperature loop</t>
  </si>
  <si>
    <t>_SP</t>
  </si>
  <si>
    <t>Setpoint</t>
  </si>
  <si>
    <t>Temperature control valve</t>
  </si>
  <si>
    <t>_RBK</t>
  </si>
  <si>
    <t>Hotwater pump</t>
  </si>
  <si>
    <t>Readback</t>
  </si>
  <si>
    <t>GO001</t>
  </si>
  <si>
    <t>EU001</t>
  </si>
  <si>
    <t>TT001</t>
  </si>
  <si>
    <t>TT002</t>
  </si>
  <si>
    <t>YC001</t>
  </si>
  <si>
    <t>Tank limit switch</t>
  </si>
  <si>
    <t>DI0001</t>
  </si>
  <si>
    <t>DO001</t>
  </si>
  <si>
    <t>AI0001</t>
  </si>
  <si>
    <t>AO0001</t>
  </si>
  <si>
    <t xml:space="preserve">DI </t>
  </si>
  <si>
    <t xml:space="preserve">DO </t>
  </si>
  <si>
    <t>°C</t>
  </si>
  <si>
    <t>%</t>
  </si>
  <si>
    <t>RPM</t>
  </si>
  <si>
    <t>XV003</t>
  </si>
  <si>
    <t>XV004</t>
  </si>
  <si>
    <t>XV005</t>
  </si>
  <si>
    <t>XV001</t>
  </si>
  <si>
    <t>XV002</t>
  </si>
  <si>
    <t>CIP valve</t>
  </si>
  <si>
    <t>Reactor 01 temperature</t>
  </si>
  <si>
    <t>Speed setpoint</t>
  </si>
  <si>
    <t>Feedback open</t>
  </si>
  <si>
    <t>AS01</t>
  </si>
  <si>
    <t>rIX</t>
  </si>
  <si>
    <t>Hierarchy</t>
  </si>
  <si>
    <t>Function</t>
  </si>
  <si>
    <t>OnOff_Valve</t>
  </si>
  <si>
    <t>Switch</t>
  </si>
  <si>
    <t>ControlValve</t>
  </si>
  <si>
    <t>Estarter</t>
  </si>
  <si>
    <t>Transmitter</t>
  </si>
  <si>
    <t>XV001_FBO</t>
  </si>
  <si>
    <t>Product inlet valve Feedback open</t>
  </si>
  <si>
    <t>XV002_FBO</t>
  </si>
  <si>
    <t>CIP valve Feedback open</t>
  </si>
  <si>
    <t>rIX/DE1/U020/CM</t>
  </si>
  <si>
    <t>XV010</t>
  </si>
  <si>
    <t>XV011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</si>
</sst>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0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0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60">
    <xf numFmtId="0" fontId="0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26">
    <xf numFmtId="0" fontId="0" fillId="0" borderId="0" xfId="0"/>
    <xf numFmtId="0" fontId="11" fillId="0" borderId="0" xfId="0" applyFont="1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9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1" fontId="9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9" fillId="0" borderId="0" xfId="0" applyNumberFormat="1" applyFont="1" applyAlignment="1">
      <alignment horizontal="center" vertical="center"/>
    </xf>
    <xf numFmtId="164" fontId="9" fillId="2" borderId="1" xfId="0" applyNumberFormat="1" applyFont="1" applyFill="1" applyBorder="1" applyAlignment="1">
      <alignment horizontal="center" vertical="center" wrapText="1"/>
    </xf>
    <xf numFmtId="164" fontId="9" fillId="2" borderId="1" xfId="0" applyNumberFormat="1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left" vertical="center"/>
    </xf>
    <xf numFmtId="0" fontId="9" fillId="2" borderId="0" xfId="0" applyFont="1" applyFill="1" applyAlignment="1" applyProtection="1">
      <alignment horizontal="center"/>
      <protection locked="0"/>
    </xf>
    <xf numFmtId="0" fontId="9" fillId="0" borderId="0" xfId="0" applyFont="1" applyAlignment="1">
      <alignment horizontal="left" vertical="center" wrapText="1"/>
    </xf>
    <xf numFmtId="0" fontId="9" fillId="0" borderId="0" xfId="0" quotePrefix="1" applyFont="1" applyAlignment="1">
      <alignment horizontal="center" vertical="center"/>
    </xf>
    <xf numFmtId="0" fontId="11" fillId="0" borderId="0" xfId="0" quotePrefix="1" applyFont="1"/>
  </cellXfs>
  <cellStyles count="60">
    <cellStyle name="Normal" xfId="0" builtinId="0"/>
    <cellStyle name="Standard 10" xfId="2" xr:uid="{00000000-0005-0000-0000-000001000000}"/>
    <cellStyle name="Standard 10 2" xfId="10" xr:uid="{00000000-0005-0000-0000-000002000000}"/>
    <cellStyle name="Standard 11" xfId="7" xr:uid="{00000000-0005-0000-0000-000003000000}"/>
    <cellStyle name="Standard 11 2" xfId="15" xr:uid="{00000000-0005-0000-0000-000004000000}"/>
    <cellStyle name="Standard 12" xfId="6" xr:uid="{00000000-0005-0000-0000-000005000000}"/>
    <cellStyle name="Standard 12 2" xfId="14" xr:uid="{00000000-0005-0000-0000-000006000000}"/>
    <cellStyle name="Standard 2" xfId="1" xr:uid="{00000000-0005-0000-0000-000007000000}"/>
    <cellStyle name="Standard 3" xfId="8" xr:uid="{00000000-0005-0000-0000-000008000000}"/>
    <cellStyle name="Standard 3 2" xfId="26" xr:uid="{00000000-0005-0000-0000-000009000000}"/>
    <cellStyle name="Standard 4" xfId="3" xr:uid="{00000000-0005-0000-0000-00000A000000}"/>
    <cellStyle name="Standard 4 2" xfId="11" xr:uid="{00000000-0005-0000-0000-00000B000000}"/>
    <cellStyle name="Standard 5" xfId="4" xr:uid="{00000000-0005-0000-0000-00000C000000}"/>
    <cellStyle name="Standard 5 2" xfId="12" xr:uid="{00000000-0005-0000-0000-00000D000000}"/>
    <cellStyle name="Standard 6" xfId="5" xr:uid="{00000000-0005-0000-0000-00000E000000}"/>
    <cellStyle name="Standard 6 2" xfId="13" xr:uid="{00000000-0005-0000-0000-00000F000000}"/>
    <cellStyle name="Standard 7" xfId="9" xr:uid="{00000000-0005-0000-0000-000010000000}"/>
    <cellStyle name="Standard 7 2" xfId="16" xr:uid="{00000000-0005-0000-0000-000011000000}"/>
    <cellStyle name="Standard 7 2 2" xfId="20" xr:uid="{00000000-0005-0000-0000-000012000000}"/>
    <cellStyle name="Standard 7 2 2 2" xfId="27" xr:uid="{00000000-0005-0000-0000-000013000000}"/>
    <cellStyle name="Standard 7 2 2 2 2" xfId="28" xr:uid="{00000000-0005-0000-0000-000014000000}"/>
    <cellStyle name="Standard 7 2 2 3" xfId="29" xr:uid="{00000000-0005-0000-0000-000015000000}"/>
    <cellStyle name="Standard 7 2 3" xfId="24" xr:uid="{00000000-0005-0000-0000-000016000000}"/>
    <cellStyle name="Standard 7 2 3 2" xfId="30" xr:uid="{00000000-0005-0000-0000-000017000000}"/>
    <cellStyle name="Standard 7 2 3 2 2" xfId="31" xr:uid="{00000000-0005-0000-0000-000018000000}"/>
    <cellStyle name="Standard 7 2 3 3" xfId="32" xr:uid="{00000000-0005-0000-0000-000019000000}"/>
    <cellStyle name="Standard 7 2 4" xfId="33" xr:uid="{00000000-0005-0000-0000-00001A000000}"/>
    <cellStyle name="Standard 7 2 4 2" xfId="34" xr:uid="{00000000-0005-0000-0000-00001B000000}"/>
    <cellStyle name="Standard 7 2 5" xfId="35" xr:uid="{00000000-0005-0000-0000-00001C000000}"/>
    <cellStyle name="Standard 7 3" xfId="19" xr:uid="{00000000-0005-0000-0000-00001D000000}"/>
    <cellStyle name="Standard 7 3 2" xfId="36" xr:uid="{00000000-0005-0000-0000-00001E000000}"/>
    <cellStyle name="Standard 7 3 2 2" xfId="37" xr:uid="{00000000-0005-0000-0000-00001F000000}"/>
    <cellStyle name="Standard 7 3 3" xfId="38" xr:uid="{00000000-0005-0000-0000-000020000000}"/>
    <cellStyle name="Standard 7 4" xfId="23" xr:uid="{00000000-0005-0000-0000-000021000000}"/>
    <cellStyle name="Standard 7 4 2" xfId="39" xr:uid="{00000000-0005-0000-0000-000022000000}"/>
    <cellStyle name="Standard 7 4 2 2" xfId="40" xr:uid="{00000000-0005-0000-0000-000023000000}"/>
    <cellStyle name="Standard 7 4 3" xfId="41" xr:uid="{00000000-0005-0000-0000-000024000000}"/>
    <cellStyle name="Standard 7 5" xfId="42" xr:uid="{00000000-0005-0000-0000-000025000000}"/>
    <cellStyle name="Standard 7 5 2" xfId="43" xr:uid="{00000000-0005-0000-0000-000026000000}"/>
    <cellStyle name="Standard 7 6" xfId="44" xr:uid="{00000000-0005-0000-0000-000027000000}"/>
    <cellStyle name="Standard 8" xfId="17" xr:uid="{00000000-0005-0000-0000-000028000000}"/>
    <cellStyle name="Standard 8 2" xfId="21" xr:uid="{00000000-0005-0000-0000-000029000000}"/>
    <cellStyle name="Standard 8 2 2" xfId="45" xr:uid="{00000000-0005-0000-0000-00002A000000}"/>
    <cellStyle name="Standard 8 2 2 2" xfId="46" xr:uid="{00000000-0005-0000-0000-00002B000000}"/>
    <cellStyle name="Standard 8 2 3" xfId="47" xr:uid="{00000000-0005-0000-0000-00002C000000}"/>
    <cellStyle name="Standard 8 3" xfId="25" xr:uid="{00000000-0005-0000-0000-00002D000000}"/>
    <cellStyle name="Standard 8 3 2" xfId="48" xr:uid="{00000000-0005-0000-0000-00002E000000}"/>
    <cellStyle name="Standard 8 3 2 2" xfId="49" xr:uid="{00000000-0005-0000-0000-00002F000000}"/>
    <cellStyle name="Standard 8 3 3" xfId="50" xr:uid="{00000000-0005-0000-0000-000030000000}"/>
    <cellStyle name="Standard 8 4" xfId="51" xr:uid="{00000000-0005-0000-0000-000031000000}"/>
    <cellStyle name="Standard 8 4 2" xfId="52" xr:uid="{00000000-0005-0000-0000-000032000000}"/>
    <cellStyle name="Standard 8 5" xfId="53" xr:uid="{00000000-0005-0000-0000-000033000000}"/>
    <cellStyle name="Standard 9" xfId="18" xr:uid="{00000000-0005-0000-0000-000034000000}"/>
    <cellStyle name="Standard 9 2" xfId="22" xr:uid="{00000000-0005-0000-0000-000035000000}"/>
    <cellStyle name="Standard 9 2 2" xfId="54" xr:uid="{00000000-0005-0000-0000-000036000000}"/>
    <cellStyle name="Standard 9 2 2 2" xfId="55" xr:uid="{00000000-0005-0000-0000-000037000000}"/>
    <cellStyle name="Standard 9 2 3" xfId="56" xr:uid="{00000000-0005-0000-0000-000038000000}"/>
    <cellStyle name="Standard 9 3" xfId="57" xr:uid="{00000000-0005-0000-0000-000039000000}"/>
    <cellStyle name="Standard 9 3 2" xfId="58" xr:uid="{00000000-0005-0000-0000-00003A000000}"/>
    <cellStyle name="Standard 9 4" xfId="59" xr:uid="{00000000-0005-0000-0000-00003B000000}"/>
  </cellStyles>
  <dxfs count="47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numFmt numFmtId="165" formatCode="0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0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</dxf>
    <dxf>
      <border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4" tint="0.79998168889431442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2121C9"/>
      <color rgb="FFB2B2B2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3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tlnzfile01.ww300.siemens.net\ber650\PA\AOL\PM\Lauf_A\1MQDQXT_PH_Shire_BG_MSP7592_Chroma_PLS_Upgrade\PM200D_Dokumentation\03_Spezifikation\03_FDS\02_FSU\VN-BG047-23-FSU-08P01.03_Unit%20T800%20Parameterlis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.sharepoint.com/teams/PA_PH_Takeda_ORTH/Freigegebene%20Dokumente/BT24_DCS_Upgrade/PM200D_Dok/03_Spec/3_FDS/2_FSU/15_for%20appr/OR-24-PA6479-FSU20-A01.00.00_350L_Sammeltank%20Paramet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-my.sharepoint.com/PA/AOL/PM/Lauf_A/1MQDQXT_PH_Shire_BG_MSP7592_Chroma_PLS_Upgrade/PM200D_Dokumentation/03_Spezifikation/03_FDS/02_FSU/01_valid/VN-CS1225-FSU-06P01.01_Mustang%20Parame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Digitaler Eingang"/>
      <sheetName val="Analoger Eingang"/>
      <sheetName val="Digitaler Ausgang"/>
      <sheetName val="Ventil"/>
      <sheetName val="Regelventil"/>
      <sheetName val="Motor"/>
      <sheetName val="Waage"/>
      <sheetName val="Unit"/>
      <sheetName val="Kritischer Alarm"/>
      <sheetName val="Regelungen"/>
      <sheetName val="Abkürzungen"/>
      <sheetName val="Aenderungsindex"/>
      <sheetName val="Hilfsblatt"/>
      <sheetName val="Dokumenteneigenschaften"/>
      <sheetName val="VN-BG047-23-FSU-08P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Digitaler Eingang"/>
      <sheetName val="Analoger Eingang"/>
      <sheetName val="Digitaler Ausgang"/>
      <sheetName val="Linearisierung"/>
      <sheetName val="Ventil"/>
      <sheetName val="Motor"/>
      <sheetName val="Waage"/>
      <sheetName val="Unit"/>
      <sheetName val="Kritischer Alarm"/>
      <sheetName val="Regler"/>
      <sheetName val="Trend"/>
      <sheetName val="Legende"/>
      <sheetName val="Aenderungsindex"/>
      <sheetName val="Hilfsblatt"/>
      <sheetName val="Dokumenteneigenschaften"/>
      <sheetName val="OR-24-PA6479-FSU20-A01.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Digitaler Eingang"/>
      <sheetName val="Analoger Eingang"/>
      <sheetName val="Digitaler Ausgang"/>
      <sheetName val="Ventil"/>
      <sheetName val="Motor"/>
      <sheetName val="Unit"/>
      <sheetName val="Kritischer Alarm"/>
      <sheetName val="Regelungen"/>
      <sheetName val="Legende"/>
      <sheetName val="Aenderungsindex"/>
      <sheetName val="Hilfsblatt"/>
      <sheetName val="Dokumenteneigenschaften"/>
      <sheetName val="VN-CS1225-FSU-06P0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9A5063-7630-4ECF-8B2F-E9649D98358A}" name="tblIOL3" displayName="tblIOL3" ref="A1:AJ20" totalsRowShown="0" headerRowDxfId="46" dataDxfId="44" headerRowBorderDxfId="45" tableBorderDxfId="43" totalsRowBorderDxfId="42">
  <autoFilter ref="A1:AJ20" xr:uid="{9A9A5063-7630-4ECF-8B2F-E9649D98358A}"/>
  <tableColumns count="36">
    <tableColumn id="37" xr3:uid="{C8921E25-6A20-4D75-97B0-202B994B62A7}" name="Cur. Number" dataDxfId="41"/>
    <tableColumn id="17" xr3:uid="{144417A3-B145-45A8-98FC-76187F68BCD8}" name="Process cell" dataDxfId="40"/>
    <tableColumn id="3" xr3:uid="{A0D74C07-462E-4394-999B-FBA8DF3AC725}" name="Area" dataDxfId="39"/>
    <tableColumn id="56" xr3:uid="{3A593819-AC8A-41CF-ADC7-1E9F5B453B50}" name="Unit PCS7" dataDxfId="38"/>
    <tableColumn id="1" xr3:uid="{C1083F28-AE3B-484A-9AF3-A1BEC0E35B4A}" name="Hierarchy" dataDxfId="7">
      <calculatedColumnFormula array="1">conc</calculatedColumnFormula>
    </tableColumn>
    <tableColumn id="2" xr3:uid="{E4978AB5-E5CF-4EB7-A81D-A870A0550CA7}" name="Function" dataDxfId="6"/>
    <tableColumn id="21" xr3:uid="{39F631ED-EFA8-4B78-BBAC-29180507C257}" name="Tag CM" dataDxfId="37">
      <calculatedColumnFormula>IF(#REF!="Spare",#REF!&amp;"_"&amp;#REF!,#REF!&amp;#REF!&amp;""&amp;#REF!)</calculatedColumnFormula>
    </tableColumn>
    <tableColumn id="5" xr3:uid="{485159CA-E867-429C-9E68-6E4804C2BBE5}" name="Postfix" dataDxfId="36"/>
    <tableColumn id="30" xr3:uid="{04819866-D5E9-4648-9BD2-82ABA27D560B}" name="Description Postfix" dataDxfId="35"/>
    <tableColumn id="26" xr3:uid="{334F0F6E-EFDB-40A9-8DF9-76F5B67D4E27}" name="Tag Description_DCS" dataDxfId="34"/>
    <tableColumn id="40" xr3:uid="{D8974451-E599-4EE4-9CD5-F85EC8AB274F}" name="SymbolName" dataDxfId="33">
      <calculatedColumnFormula>IF(tblIOL3[[#This Row],[Signal Type]]="Softwaresignal","",IF(#REF!="Reserve",#REF!&amp;"_"&amp;SUBSTITUTE(#REF!,".","_"),#REF!))</calculatedColumnFormula>
    </tableColumn>
    <tableColumn id="48" xr3:uid="{2EEB79BA-D861-4F23-8E15-41BD3E3236A9}" name="SymbolComment" dataDxfId="32">
      <calculatedColumnFormula>IF(tblIOL3[[#This Row],[Signal Type]]="Softwaresignal","",IF(#REF!="Reserve",#REF!&amp;"_"&amp;SUBSTITUTE(#REF!,".","_"),IF(tblIOL3[[#This Row],[Postfix]]&lt;&gt;"",tblIOL3[[#This Row],[Tag Description_DCS]]&amp;" "&amp;tblIOL3[[#This Row],[Description Postfix]],tblIOL3[[#This Row],[Tag Description_DCS]])))</calculatedColumnFormula>
    </tableColumn>
    <tableColumn id="57" xr3:uid="{4DEA2794-69BA-42E8-8F10-66D8FE66D5B6}" name="Min. Instrument range" dataDxfId="31"/>
    <tableColumn id="55" xr3:uid="{A191A85F-0A43-4D9D-8831-6D31BA72D19A}" name="Max. Instrument range" dataDxfId="30"/>
    <tableColumn id="25" xr3:uid="{B6F1D033-5427-4923-AA31-D548228A73E1}" name="Unit of Measurement Instrument" dataDxfId="29"/>
    <tableColumn id="12" xr3:uid="{06A1450D-C78C-42CE-90AE-BAD686C3519E}" name="Measuring range min" dataDxfId="28"/>
    <tableColumn id="13" xr3:uid="{2210B0CB-FC64-4F3F-8E77-10D04F7818B8}" name="Measuring range max" dataDxfId="27"/>
    <tableColumn id="14" xr3:uid="{F738CD74-1CC6-47C9-B361-35E050B8857C}" name="Unit of Measurement" dataDxfId="26"/>
    <tableColumn id="62" xr3:uid="{89D9E7A2-4052-4B1E-ACEB-7B8E8911AB79}" name="digits" dataDxfId="25"/>
    <tableColumn id="79" xr3:uid="{F42CA971-58B7-4864-A93E-CFD57FC4A79E}" name="Valve NO/NC" dataDxfId="24"/>
    <tableColumn id="10" xr3:uid="{916B97F6-D72E-4D0B-B37A-0F24C608659D}" name="Signal Type" dataDxfId="23"/>
    <tableColumn id="74" xr3:uid="{4566F4FB-CA99-420F-AEBA-77B5E1926688}" name="AS" dataDxfId="22"/>
    <tableColumn id="9" xr3:uid="{0882FFE4-B9B5-4CBD-B60D-B1591967AC0B}" name="Cabinet" dataDxfId="21"/>
    <tableColumn id="8" xr3:uid="{663612F4-7F0E-495B-88BD-B25B590930F0}" name="IM type" dataDxfId="20"/>
    <tableColumn id="7" xr3:uid="{7042449A-2DBF-4F94-AD07-0528658911E2}" name="Station MLFB" dataDxfId="19"/>
    <tableColumn id="24" xr3:uid="{09563119-079C-4A65-B8BC-5742D30910C2}" name="Module" dataDxfId="18"/>
    <tableColumn id="23" xr3:uid="{FE5DFC9E-BEAE-4BBD-9C26-F5DAA8CF1743}" name="Profinet IP" dataDxfId="17"/>
    <tableColumn id="22" xr3:uid="{BF810C8C-DFF7-4B52-AEA0-2C93C74D4F57}" name="IM (Slot)" dataDxfId="16"/>
    <tableColumn id="19" xr3:uid="{43548C61-2FA3-4522-8967-4C44C353B7EA}" name="Module connected to Scalance" dataDxfId="15"/>
    <tableColumn id="18" xr3:uid="{5A177168-AEEC-4B26-9C81-9D6054EF36B9}" name="Module name" dataDxfId="14"/>
    <tableColumn id="15" xr3:uid="{F351606F-C133-49BB-924E-338B3E60DBC8}" name="Card Slot" dataDxfId="13"/>
    <tableColumn id="16" xr3:uid="{2973E452-22F9-4D93-B39E-FE9CD870CC2E}" name="Card name" dataDxfId="12"/>
    <tableColumn id="73" xr3:uid="{F55C38BC-52FF-4400-AC34-71E6916CE997}" name="Card reference" dataDxfId="11"/>
    <tableColumn id="68" xr3:uid="{96EDAC04-D92A-4880-A00A-F5C8B3ED7035}" name="CardType" dataDxfId="10"/>
    <tableColumn id="11" xr3:uid="{2B4D83D5-5A38-4CF4-BB18-F854F58A4B74}" name="Channel" dataDxfId="9"/>
    <tableColumn id="58" xr3:uid="{88F3E813-E6EB-4B7A-8E40-931A4DF6C310}" name="last Change" dataDxfId="8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38FA-DF6F-4898-A823-AFB40AE584C3}">
  <sheetPr codeName="Tabelle2">
    <pageSetUpPr autoPageBreaks="0" fitToPage="1"/>
  </sheetPr>
  <dimension ref="A1:AO22"/>
  <sheetViews>
    <sheetView tabSelected="1" zoomScale="115" zoomScaleNormal="115" zoomScaleSheetLayoutView="85" workbookViewId="0">
      <selection activeCell="G23" sqref="G23"/>
    </sheetView>
  </sheetViews>
  <sheetFormatPr defaultColWidth="11.42578125" defaultRowHeight="15" outlineLevelCol="1" x14ac:dyDescent="0.25"/>
  <cols>
    <col min="1" max="1" width="12.140625" style="4" customWidth="1"/>
    <col min="2" max="2" width="10.7109375" style="5" customWidth="1"/>
    <col min="3" max="3" width="16.42578125" style="5" bestFit="1" customWidth="1"/>
    <col min="4" max="4" width="14.5703125" style="5" bestFit="1" customWidth="1"/>
    <col min="5" max="6" width="23.28515625" style="5" customWidth="1"/>
    <col min="7" max="7" width="12.42578125" bestFit="1" customWidth="1"/>
    <col min="8" max="8" width="11.7109375" style="5" bestFit="1" customWidth="1"/>
    <col min="9" max="9" width="15.7109375" style="5" customWidth="1"/>
    <col min="10" max="10" width="24.85546875" bestFit="1" customWidth="1"/>
    <col min="11" max="11" width="22.7109375" style="5" customWidth="1" outlineLevel="1"/>
    <col min="12" max="12" width="33.85546875" style="5" bestFit="1" customWidth="1" outlineLevel="1"/>
    <col min="13" max="13" width="30.85546875" style="5" customWidth="1" outlineLevel="1"/>
    <col min="14" max="14" width="12.7109375" style="5" customWidth="1"/>
    <col min="15" max="15" width="12.7109375" style="6" customWidth="1"/>
    <col min="16" max="16" width="19" style="6" bestFit="1" customWidth="1"/>
    <col min="17" max="18" width="12.7109375" style="6" customWidth="1"/>
    <col min="19" max="19" width="17.28515625" style="5" bestFit="1" customWidth="1"/>
    <col min="20" max="21" width="8.7109375" style="7" customWidth="1"/>
    <col min="22" max="22" width="25.28515625" style="2" customWidth="1" outlineLevel="1"/>
    <col min="23" max="23" width="12.7109375" style="2" customWidth="1" outlineLevel="1"/>
    <col min="24" max="24" width="16" style="2" bestFit="1" customWidth="1" outlineLevel="1"/>
    <col min="25" max="25" width="20.85546875" style="2" bestFit="1" customWidth="1" outlineLevel="1"/>
    <col min="26" max="26" width="20.85546875" style="2" customWidth="1" outlineLevel="1"/>
    <col min="27" max="27" width="19.28515625" style="5" customWidth="1" outlineLevel="1"/>
    <col min="28" max="28" width="20.85546875" style="2" customWidth="1" outlineLevel="1"/>
    <col min="29" max="29" width="29.5703125" style="2" customWidth="1" outlineLevel="1"/>
    <col min="30" max="30" width="20.85546875" style="2" customWidth="1" outlineLevel="1"/>
    <col min="31" max="31" width="12.7109375" style="5" customWidth="1" outlineLevel="1"/>
    <col min="32" max="32" width="20.85546875" style="2" customWidth="1" outlineLevel="1"/>
    <col min="33" max="33" width="20.7109375" style="2" bestFit="1" customWidth="1" outlineLevel="1"/>
    <col min="34" max="34" width="30.5703125" style="5" customWidth="1" outlineLevel="1"/>
    <col min="36" max="36" width="12.7109375" style="5" customWidth="1" outlineLevel="1"/>
    <col min="37" max="37" width="15.7109375" style="5" customWidth="1" outlineLevel="1"/>
    <col min="41" max="41" width="50.5703125" style="7" customWidth="1" outlineLevel="1"/>
    <col min="42" max="42" width="15.85546875" style="3" customWidth="1"/>
    <col min="43" max="16384" width="11.42578125" style="3"/>
  </cols>
  <sheetData>
    <row r="1" spans="1:41" s="22" customFormat="1" ht="38.25" x14ac:dyDescent="0.2">
      <c r="A1" s="15" t="s">
        <v>0</v>
      </c>
      <c r="B1" s="15" t="s">
        <v>51</v>
      </c>
      <c r="C1" s="15" t="s">
        <v>52</v>
      </c>
      <c r="D1" s="15" t="s">
        <v>26</v>
      </c>
      <c r="E1" s="15" t="s">
        <v>93</v>
      </c>
      <c r="F1" s="15" t="s">
        <v>94</v>
      </c>
      <c r="G1" s="16" t="s">
        <v>3</v>
      </c>
      <c r="H1" s="15" t="s">
        <v>1</v>
      </c>
      <c r="I1" s="15" t="s">
        <v>2</v>
      </c>
      <c r="J1" s="16" t="s">
        <v>4</v>
      </c>
      <c r="K1" s="17" t="s">
        <v>16</v>
      </c>
      <c r="L1" s="17" t="s">
        <v>17</v>
      </c>
      <c r="M1" s="15" t="s">
        <v>24</v>
      </c>
      <c r="N1" s="15" t="s">
        <v>25</v>
      </c>
      <c r="O1" s="15" t="s">
        <v>19</v>
      </c>
      <c r="P1" s="18" t="s">
        <v>5</v>
      </c>
      <c r="Q1" s="18" t="s">
        <v>6</v>
      </c>
      <c r="R1" s="18" t="s">
        <v>20</v>
      </c>
      <c r="S1" s="19" t="s">
        <v>7</v>
      </c>
      <c r="T1" s="15" t="s">
        <v>27</v>
      </c>
      <c r="U1" s="20" t="s">
        <v>8</v>
      </c>
      <c r="V1" s="21" t="s">
        <v>11</v>
      </c>
      <c r="W1" s="21" t="s">
        <v>12</v>
      </c>
      <c r="X1" s="21" t="s">
        <v>30</v>
      </c>
      <c r="Y1" s="21" t="s">
        <v>31</v>
      </c>
      <c r="Z1" s="21" t="s">
        <v>34</v>
      </c>
      <c r="AA1" s="21" t="s">
        <v>23</v>
      </c>
      <c r="AB1" s="21" t="s">
        <v>35</v>
      </c>
      <c r="AC1" s="21" t="s">
        <v>36</v>
      </c>
      <c r="AD1" s="21" t="s">
        <v>37</v>
      </c>
      <c r="AE1" s="21" t="s">
        <v>14</v>
      </c>
      <c r="AF1" s="21" t="s">
        <v>38</v>
      </c>
      <c r="AG1" s="21" t="s">
        <v>39</v>
      </c>
      <c r="AH1" s="21" t="s">
        <v>13</v>
      </c>
      <c r="AI1" s="21" t="s">
        <v>15</v>
      </c>
      <c r="AJ1" s="15" t="s">
        <v>18</v>
      </c>
    </row>
    <row r="2" spans="1:41" x14ac:dyDescent="0.25">
      <c r="A2" s="8">
        <v>1</v>
      </c>
      <c r="B2" s="13" t="s">
        <v>92</v>
      </c>
      <c r="C2" s="13" t="s">
        <v>53</v>
      </c>
      <c r="D2" s="9" t="s">
        <v>44</v>
      </c>
      <c r="E2" s="9" t="str">
        <f>_xlfn.CONCAT(tblIOL3[[#This Row],[Process cell]], "/", tblIOL3[[#This Row],[Area]], "/", tblIOL3[[#This Row],[Unit PCS7]], "/CM")</f>
        <v>rIX/DE1/U010/CM</v>
      </c>
      <c r="F2" s="9" t="s">
        <v>95</v>
      </c>
      <c r="G2" s="6" t="s">
        <v>85</v>
      </c>
      <c r="H2" s="6" t="s">
        <v>22</v>
      </c>
      <c r="I2" s="23" t="s">
        <v>90</v>
      </c>
      <c r="J2" s="1" t="s">
        <v>46</v>
      </c>
      <c r="K2" s="11" t="str">
        <f>IF(tblIOL3[[#This Row],[Tag CM]]="Reserve",tblIOL3[Tag CM],CONCATENATE(tblIOL3[[#This Row],[Tag CM]],tblIOL3[[#This Row],[Postfix]]))</f>
        <v>XV001_FBO</v>
      </c>
      <c r="L2" s="11" t="str">
        <f>CONCATENATE(tblIOL3[[#This Row],[Tag Description_DCS]]," ",tblIOL3[[#This Row],[Description Postfix]])</f>
        <v>Product inlet valve Feedback open</v>
      </c>
      <c r="M2" s="6"/>
      <c r="N2" s="6"/>
      <c r="S2" s="6"/>
      <c r="T2" s="6"/>
      <c r="U2" s="11" t="s">
        <v>9</v>
      </c>
      <c r="V2" s="10" t="s">
        <v>91</v>
      </c>
      <c r="W2" s="10" t="s">
        <v>29</v>
      </c>
      <c r="X2" s="10" t="s">
        <v>32</v>
      </c>
      <c r="Y2" s="10" t="s">
        <v>33</v>
      </c>
      <c r="Z2" t="s">
        <v>40</v>
      </c>
      <c r="AA2" s="6" t="s">
        <v>43</v>
      </c>
      <c r="AB2">
        <v>1</v>
      </c>
      <c r="AC2"/>
      <c r="AD2" t="s">
        <v>41</v>
      </c>
      <c r="AE2" s="12">
        <v>1</v>
      </c>
      <c r="AF2" t="s">
        <v>73</v>
      </c>
      <c r="AG2" t="s">
        <v>42</v>
      </c>
      <c r="AH2" s="6" t="s">
        <v>77</v>
      </c>
      <c r="AI2" s="14">
        <v>1</v>
      </c>
      <c r="AJ2" s="13"/>
      <c r="AK2" s="3"/>
      <c r="AL2" s="3"/>
      <c r="AM2" s="3"/>
      <c r="AN2" s="3"/>
      <c r="AO2" s="3"/>
    </row>
    <row r="3" spans="1:41" x14ac:dyDescent="0.25">
      <c r="A3" s="8">
        <v>2</v>
      </c>
      <c r="B3" s="13" t="s">
        <v>92</v>
      </c>
      <c r="C3" s="13" t="s">
        <v>53</v>
      </c>
      <c r="D3" s="9" t="s">
        <v>44</v>
      </c>
      <c r="E3" s="9" t="str">
        <f>_xlfn.CONCAT(tblIOL3[[#This Row],[Process cell]], "/", tblIOL3[[#This Row],[Area]], "/", tblIOL3[[#This Row],[Unit PCS7]], "/CM")</f>
        <v>rIX/DE1/U010/CM</v>
      </c>
      <c r="F3" s="9" t="s">
        <v>95</v>
      </c>
      <c r="G3" s="6" t="s">
        <v>86</v>
      </c>
      <c r="H3" s="6" t="s">
        <v>22</v>
      </c>
      <c r="I3" s="23" t="s">
        <v>90</v>
      </c>
      <c r="J3" s="1" t="s">
        <v>87</v>
      </c>
      <c r="K3" s="11" t="str">
        <f>IF(tblIOL3[[#This Row],[Tag CM]]="Reserve",tblIOL3[Tag CM],CONCATENATE(tblIOL3[[#This Row],[Tag CM]],tblIOL3[[#This Row],[Postfix]]))</f>
        <v>XV002_FBO</v>
      </c>
      <c r="L3" s="11" t="str">
        <f>CONCATENATE(tblIOL3[[#This Row],[Tag Description_DCS]]," ",tblIOL3[[#This Row],[Description Postfix]])</f>
        <v>CIP valve Feedback open</v>
      </c>
      <c r="M3" s="6"/>
      <c r="N3" s="6"/>
      <c r="S3" s="6"/>
      <c r="T3" s="6"/>
      <c r="U3" s="11" t="s">
        <v>9</v>
      </c>
      <c r="V3" s="10" t="s">
        <v>91</v>
      </c>
      <c r="W3" s="10" t="s">
        <v>29</v>
      </c>
      <c r="X3" s="10" t="s">
        <v>32</v>
      </c>
      <c r="Y3" s="10" t="s">
        <v>33</v>
      </c>
      <c r="Z3" t="s">
        <v>40</v>
      </c>
      <c r="AA3" s="6" t="s">
        <v>43</v>
      </c>
      <c r="AB3">
        <v>1</v>
      </c>
      <c r="AC3"/>
      <c r="AD3" t="s">
        <v>41</v>
      </c>
      <c r="AE3" s="12">
        <v>1</v>
      </c>
      <c r="AF3" t="s">
        <v>73</v>
      </c>
      <c r="AG3" t="s">
        <v>42</v>
      </c>
      <c r="AH3" s="6" t="s">
        <v>77</v>
      </c>
      <c r="AI3" s="14">
        <v>2</v>
      </c>
      <c r="AJ3" s="13"/>
      <c r="AK3" s="3"/>
      <c r="AL3" s="3"/>
      <c r="AM3" s="3"/>
      <c r="AN3" s="3"/>
      <c r="AO3" s="3"/>
    </row>
    <row r="4" spans="1:41" x14ac:dyDescent="0.25">
      <c r="A4" s="8">
        <v>3</v>
      </c>
      <c r="B4" s="13" t="s">
        <v>92</v>
      </c>
      <c r="C4" s="13" t="s">
        <v>53</v>
      </c>
      <c r="D4" s="9" t="s">
        <v>44</v>
      </c>
      <c r="E4" s="9" t="str">
        <f>_xlfn.CONCAT(tblIOL3[[#This Row],[Process cell]], "/", tblIOL3[[#This Row],[Area]], "/", tblIOL3[[#This Row],[Unit PCS7]], "/CM")</f>
        <v>rIX/DE1/U010/CM</v>
      </c>
      <c r="F4" s="9" t="s">
        <v>95</v>
      </c>
      <c r="G4" s="6" t="s">
        <v>82</v>
      </c>
      <c r="H4" s="6" t="s">
        <v>22</v>
      </c>
      <c r="I4" s="23" t="s">
        <v>90</v>
      </c>
      <c r="J4" s="1" t="s">
        <v>47</v>
      </c>
      <c r="K4" s="11" t="str">
        <f>IF(tblIOL3[[#This Row],[Tag CM]]="Reserve",tblIOL3[Tag CM],CONCATENATE(tblIOL3[[#This Row],[Tag CM]],tblIOL3[[#This Row],[Postfix]]))</f>
        <v>XV003_FBO</v>
      </c>
      <c r="L4" s="11" t="str">
        <f>CONCATENATE(tblIOL3[[#This Row],[Tag Description_DCS]]," ",tblIOL3[[#This Row],[Description Postfix]])</f>
        <v>Discharge valve Feedback open</v>
      </c>
      <c r="M4" s="6"/>
      <c r="N4" s="6"/>
      <c r="S4" s="6"/>
      <c r="T4" s="6"/>
      <c r="U4" s="11" t="s">
        <v>9</v>
      </c>
      <c r="V4" s="10" t="s">
        <v>91</v>
      </c>
      <c r="W4" s="10" t="s">
        <v>29</v>
      </c>
      <c r="X4" s="10" t="s">
        <v>32</v>
      </c>
      <c r="Y4" s="10" t="s">
        <v>33</v>
      </c>
      <c r="Z4" t="s">
        <v>40</v>
      </c>
      <c r="AA4" s="6" t="s">
        <v>43</v>
      </c>
      <c r="AB4">
        <v>1</v>
      </c>
      <c r="AC4"/>
      <c r="AD4" t="s">
        <v>41</v>
      </c>
      <c r="AE4" s="12">
        <v>1</v>
      </c>
      <c r="AF4" t="s">
        <v>73</v>
      </c>
      <c r="AG4" t="s">
        <v>42</v>
      </c>
      <c r="AH4" s="6" t="s">
        <v>77</v>
      </c>
      <c r="AI4" s="14">
        <v>3</v>
      </c>
      <c r="AJ4" s="13"/>
      <c r="AK4" s="3"/>
      <c r="AL4" s="3"/>
      <c r="AM4" s="3"/>
      <c r="AN4" s="3"/>
      <c r="AO4" s="3"/>
    </row>
    <row r="5" spans="1:41" x14ac:dyDescent="0.25">
      <c r="A5" s="8">
        <v>4</v>
      </c>
      <c r="B5" s="13" t="s">
        <v>92</v>
      </c>
      <c r="C5" s="13" t="s">
        <v>53</v>
      </c>
      <c r="D5" s="9" t="s">
        <v>44</v>
      </c>
      <c r="E5" s="9" t="str">
        <f>_xlfn.CONCAT(tblIOL3[[#This Row],[Process cell]], "/", tblIOL3[[#This Row],[Area]], "/", tblIOL3[[#This Row],[Unit PCS7]], "/CM")</f>
        <v>rIX/DE1/U010/CM</v>
      </c>
      <c r="F5" s="9" t="s">
        <v>95</v>
      </c>
      <c r="G5" s="6" t="s">
        <v>83</v>
      </c>
      <c r="H5" s="6" t="s">
        <v>22</v>
      </c>
      <c r="I5" s="23" t="s">
        <v>90</v>
      </c>
      <c r="J5" s="1" t="s">
        <v>48</v>
      </c>
      <c r="K5" s="11" t="str">
        <f>IF(tblIOL3[[#This Row],[Tag CM]]="Reserve",tblIOL3[Tag CM],CONCATENATE(tblIOL3[[#This Row],[Tag CM]],tblIOL3[[#This Row],[Postfix]]))</f>
        <v>XV004_FBO</v>
      </c>
      <c r="L5" s="11" t="str">
        <f>CONCATENATE(tblIOL3[[#This Row],[Tag Description_DCS]]," ",tblIOL3[[#This Row],[Description Postfix]])</f>
        <v>Tank inlet valve Feedback open</v>
      </c>
      <c r="M5" s="6"/>
      <c r="N5" s="6"/>
      <c r="S5" s="6"/>
      <c r="T5" s="6"/>
      <c r="U5" s="11" t="s">
        <v>9</v>
      </c>
      <c r="V5" s="10" t="s">
        <v>91</v>
      </c>
      <c r="W5" s="10" t="s">
        <v>29</v>
      </c>
      <c r="X5" s="10" t="s">
        <v>32</v>
      </c>
      <c r="Y5" s="10" t="s">
        <v>33</v>
      </c>
      <c r="Z5" t="s">
        <v>40</v>
      </c>
      <c r="AA5" s="6" t="s">
        <v>43</v>
      </c>
      <c r="AB5">
        <v>1</v>
      </c>
      <c r="AC5"/>
      <c r="AD5" t="s">
        <v>41</v>
      </c>
      <c r="AE5" s="12">
        <v>1</v>
      </c>
      <c r="AF5" t="s">
        <v>73</v>
      </c>
      <c r="AG5" t="s">
        <v>42</v>
      </c>
      <c r="AH5" s="6" t="s">
        <v>77</v>
      </c>
      <c r="AI5" s="14">
        <v>4</v>
      </c>
      <c r="AJ5" s="13"/>
      <c r="AK5" s="3"/>
      <c r="AL5" s="3"/>
      <c r="AM5" s="3"/>
      <c r="AN5" s="3"/>
      <c r="AO5" s="3"/>
    </row>
    <row r="6" spans="1:41" x14ac:dyDescent="0.25">
      <c r="A6" s="8">
        <v>5</v>
      </c>
      <c r="B6" s="13" t="s">
        <v>92</v>
      </c>
      <c r="C6" s="13" t="s">
        <v>53</v>
      </c>
      <c r="D6" s="9" t="s">
        <v>44</v>
      </c>
      <c r="E6" s="9" t="str">
        <f>_xlfn.CONCAT(tblIOL3[[#This Row],[Process cell]], "/", tblIOL3[[#This Row],[Area]], "/", tblIOL3[[#This Row],[Unit PCS7]], "/CM")</f>
        <v>rIX/DE1/U010/CM</v>
      </c>
      <c r="F6" s="9" t="s">
        <v>95</v>
      </c>
      <c r="G6" s="6" t="s">
        <v>84</v>
      </c>
      <c r="H6" s="6" t="s">
        <v>22</v>
      </c>
      <c r="I6" s="23" t="s">
        <v>90</v>
      </c>
      <c r="J6" s="1" t="s">
        <v>49</v>
      </c>
      <c r="K6" s="11" t="str">
        <f>IF(tblIOL3[[#This Row],[Tag CM]]="Reserve",tblIOL3[Tag CM],CONCATENATE(tblIOL3[[#This Row],[Tag CM]],tblIOL3[[#This Row],[Postfix]]))</f>
        <v>XV005_FBO</v>
      </c>
      <c r="L6" s="11" t="str">
        <f>CONCATENATE(tblIOL3[[#This Row],[Tag Description_DCS]]," ",tblIOL3[[#This Row],[Description Postfix]])</f>
        <v>Vent valve Feedback open</v>
      </c>
      <c r="M6" s="6"/>
      <c r="N6" s="6"/>
      <c r="S6" s="6"/>
      <c r="T6" s="6"/>
      <c r="U6" s="11" t="s">
        <v>9</v>
      </c>
      <c r="V6" s="10" t="s">
        <v>91</v>
      </c>
      <c r="W6" s="10" t="s">
        <v>29</v>
      </c>
      <c r="X6" s="10" t="s">
        <v>32</v>
      </c>
      <c r="Y6" s="10" t="s">
        <v>33</v>
      </c>
      <c r="Z6" t="s">
        <v>40</v>
      </c>
      <c r="AA6" s="6" t="s">
        <v>43</v>
      </c>
      <c r="AB6">
        <v>1</v>
      </c>
      <c r="AC6"/>
      <c r="AD6" t="s">
        <v>41</v>
      </c>
      <c r="AE6" s="12">
        <v>1</v>
      </c>
      <c r="AF6" t="s">
        <v>73</v>
      </c>
      <c r="AG6" t="s">
        <v>42</v>
      </c>
      <c r="AH6" s="6" t="s">
        <v>77</v>
      </c>
      <c r="AI6" s="14">
        <v>5</v>
      </c>
      <c r="AJ6" s="13"/>
      <c r="AK6" s="3"/>
      <c r="AL6" s="3"/>
      <c r="AM6" s="3"/>
      <c r="AN6" s="3"/>
      <c r="AO6" s="3"/>
    </row>
    <row r="7" spans="1:41" x14ac:dyDescent="0.25">
      <c r="A7" s="8">
        <v>6</v>
      </c>
      <c r="B7" s="13" t="s">
        <v>92</v>
      </c>
      <c r="C7" s="13" t="s">
        <v>53</v>
      </c>
      <c r="D7" s="9" t="s">
        <v>44</v>
      </c>
      <c r="E7" s="9" t="str">
        <f>_xlfn.CONCAT(tblIOL3[[#This Row],[Process cell]], "/", tblIOL3[[#This Row],[Area]], "/", tblIOL3[[#This Row],[Unit PCS7]], "/CM")</f>
        <v>rIX/DE1/U010/CM</v>
      </c>
      <c r="F7" s="9" t="s">
        <v>96</v>
      </c>
      <c r="G7" s="6" t="s">
        <v>67</v>
      </c>
      <c r="H7" s="24" t="s">
        <v>54</v>
      </c>
      <c r="I7" s="23" t="s">
        <v>90</v>
      </c>
      <c r="J7" s="25" t="s">
        <v>72</v>
      </c>
      <c r="K7" s="11" t="str">
        <f>IF(tblIOL3[[#This Row],[Tag CM]]="Reserve",tblIOL3[[#This Row],[Tag CM]],tblIOL3[[#This Row],[Tag CM]] &amp; tblIOL3[[#This Row],[Postfix]])</f>
        <v>GO001_PV</v>
      </c>
      <c r="L7" s="11" t="str">
        <f>CONCATENATE(tblIOL3[[#This Row],[Tag Description_DCS]]," ",tblIOL3[[#This Row],[Description Postfix]])</f>
        <v>Tank limit switch Feedback open</v>
      </c>
      <c r="M7" s="6"/>
      <c r="N7" s="6"/>
      <c r="S7" s="6"/>
      <c r="T7" s="6"/>
      <c r="U7" s="11" t="s">
        <v>9</v>
      </c>
      <c r="V7" s="10" t="s">
        <v>91</v>
      </c>
      <c r="W7" s="10" t="s">
        <v>29</v>
      </c>
      <c r="X7" s="10" t="s">
        <v>32</v>
      </c>
      <c r="Y7" s="10" t="s">
        <v>33</v>
      </c>
      <c r="Z7" t="s">
        <v>40</v>
      </c>
      <c r="AA7" s="6" t="s">
        <v>43</v>
      </c>
      <c r="AB7">
        <v>1</v>
      </c>
      <c r="AC7"/>
      <c r="AD7" t="s">
        <v>41</v>
      </c>
      <c r="AE7" s="12">
        <v>1</v>
      </c>
      <c r="AF7" t="s">
        <v>73</v>
      </c>
      <c r="AG7" t="s">
        <v>42</v>
      </c>
      <c r="AH7" s="6" t="s">
        <v>77</v>
      </c>
      <c r="AI7" s="14">
        <v>6</v>
      </c>
      <c r="AK7"/>
      <c r="AN7" s="7"/>
      <c r="AO7" s="3"/>
    </row>
    <row r="8" spans="1:41" x14ac:dyDescent="0.25">
      <c r="A8" s="8">
        <v>17</v>
      </c>
      <c r="B8" s="13" t="s">
        <v>92</v>
      </c>
      <c r="C8" s="13" t="s">
        <v>53</v>
      </c>
      <c r="D8" s="9" t="s">
        <v>44</v>
      </c>
      <c r="E8" s="9" t="str">
        <f>_xlfn.CONCAT(tblIOL3[[#This Row],[Process cell]], "/", tblIOL3[[#This Row],[Area]], "/", tblIOL3[[#This Row],[Unit PCS7]], "/CM")</f>
        <v>rIX/DE1/U010/CM</v>
      </c>
      <c r="F8" s="9" t="s">
        <v>95</v>
      </c>
      <c r="G8" s="6" t="s">
        <v>85</v>
      </c>
      <c r="H8" s="6" t="s">
        <v>21</v>
      </c>
      <c r="I8" s="23" t="s">
        <v>45</v>
      </c>
      <c r="J8" s="1" t="s">
        <v>46</v>
      </c>
      <c r="K8" s="11" t="str">
        <f>IF(tblIOL3[[#This Row],[Tag CM]]="Reserve",tblIOL3[Tag CM],CONCATENATE(tblIOL3[[#This Row],[Tag CM]],tblIOL3[[#This Row],[Postfix]]))</f>
        <v>XV001_OUT</v>
      </c>
      <c r="L8" s="11" t="str">
        <f>CONCATENATE(tblIOL3[[#This Row],[Tag Description_DCS]]," ",tblIOL3[[#This Row],[Description Postfix]])</f>
        <v>Product inlet valve Command</v>
      </c>
      <c r="M8" s="6"/>
      <c r="N8" s="6"/>
      <c r="S8" s="6"/>
      <c r="T8" s="6" t="s">
        <v>28</v>
      </c>
      <c r="U8" s="11" t="s">
        <v>10</v>
      </c>
      <c r="V8" s="10" t="s">
        <v>91</v>
      </c>
      <c r="W8" s="10" t="s">
        <v>29</v>
      </c>
      <c r="X8" s="10" t="s">
        <v>32</v>
      </c>
      <c r="Y8" s="10" t="s">
        <v>33</v>
      </c>
      <c r="Z8" t="s">
        <v>40</v>
      </c>
      <c r="AA8" s="6" t="s">
        <v>43</v>
      </c>
      <c r="AB8">
        <v>1</v>
      </c>
      <c r="AC8"/>
      <c r="AD8" t="s">
        <v>41</v>
      </c>
      <c r="AE8" s="12">
        <v>2</v>
      </c>
      <c r="AF8" t="s">
        <v>74</v>
      </c>
      <c r="AG8" t="s">
        <v>50</v>
      </c>
      <c r="AH8" s="6" t="s">
        <v>78</v>
      </c>
      <c r="AI8" s="14">
        <v>1</v>
      </c>
      <c r="AJ8" s="13"/>
      <c r="AK8" s="3"/>
      <c r="AL8" s="3"/>
      <c r="AM8" s="3"/>
      <c r="AN8" s="3"/>
      <c r="AO8" s="3"/>
    </row>
    <row r="9" spans="1:41" x14ac:dyDescent="0.25">
      <c r="A9" s="8">
        <v>18</v>
      </c>
      <c r="B9" s="13" t="s">
        <v>92</v>
      </c>
      <c r="C9" s="13" t="s">
        <v>53</v>
      </c>
      <c r="D9" s="9" t="s">
        <v>44</v>
      </c>
      <c r="E9" s="9" t="str">
        <f>_xlfn.CONCAT(tblIOL3[[#This Row],[Process cell]], "/", tblIOL3[[#This Row],[Area]], "/", tblIOL3[[#This Row],[Unit PCS7]], "/CM")</f>
        <v>rIX/DE1/U010/CM</v>
      </c>
      <c r="F9" s="9" t="s">
        <v>95</v>
      </c>
      <c r="G9" s="6" t="s">
        <v>86</v>
      </c>
      <c r="H9" s="6" t="s">
        <v>21</v>
      </c>
      <c r="I9" s="23" t="s">
        <v>45</v>
      </c>
      <c r="J9" s="1" t="s">
        <v>87</v>
      </c>
      <c r="K9" s="11" t="str">
        <f>IF(tblIOL3[[#This Row],[Tag CM]]="Reserve",tblIOL3[Tag CM],CONCATENATE(tblIOL3[[#This Row],[Tag CM]],tblIOL3[[#This Row],[Postfix]]))</f>
        <v>XV002_OUT</v>
      </c>
      <c r="L9" s="11" t="str">
        <f>CONCATENATE(tblIOL3[[#This Row],[Tag Description_DCS]]," ",tblIOL3[[#This Row],[Description Postfix]])</f>
        <v>CIP valve Command</v>
      </c>
      <c r="M9" s="6"/>
      <c r="N9" s="6"/>
      <c r="S9" s="6"/>
      <c r="T9" s="6" t="s">
        <v>28</v>
      </c>
      <c r="U9" s="11" t="s">
        <v>10</v>
      </c>
      <c r="V9" s="10" t="s">
        <v>91</v>
      </c>
      <c r="W9" s="10" t="s">
        <v>29</v>
      </c>
      <c r="X9" s="10" t="s">
        <v>32</v>
      </c>
      <c r="Y9" s="10" t="s">
        <v>33</v>
      </c>
      <c r="Z9" t="s">
        <v>40</v>
      </c>
      <c r="AA9" s="6" t="s">
        <v>43</v>
      </c>
      <c r="AB9">
        <v>1</v>
      </c>
      <c r="AC9"/>
      <c r="AD9" t="s">
        <v>41</v>
      </c>
      <c r="AE9" s="12">
        <v>2</v>
      </c>
      <c r="AF9" t="s">
        <v>74</v>
      </c>
      <c r="AG9" t="s">
        <v>50</v>
      </c>
      <c r="AH9" s="6" t="s">
        <v>78</v>
      </c>
      <c r="AI9" s="14">
        <v>2</v>
      </c>
      <c r="AJ9" s="13"/>
      <c r="AK9" s="3"/>
      <c r="AL9" s="3"/>
      <c r="AM9" s="3"/>
      <c r="AN9" s="3"/>
      <c r="AO9" s="3"/>
    </row>
    <row r="10" spans="1:41" x14ac:dyDescent="0.25">
      <c r="A10" s="8">
        <v>19</v>
      </c>
      <c r="B10" s="13" t="s">
        <v>92</v>
      </c>
      <c r="C10" s="13" t="s">
        <v>53</v>
      </c>
      <c r="D10" s="9" t="s">
        <v>44</v>
      </c>
      <c r="E10" s="9" t="str">
        <f>_xlfn.CONCAT(tblIOL3[[#This Row],[Process cell]], "/", tblIOL3[[#This Row],[Area]], "/", tblIOL3[[#This Row],[Unit PCS7]], "/CM")</f>
        <v>rIX/DE1/U010/CM</v>
      </c>
      <c r="F10" s="9" t="s">
        <v>95</v>
      </c>
      <c r="G10" s="6" t="s">
        <v>82</v>
      </c>
      <c r="H10" s="6" t="s">
        <v>21</v>
      </c>
      <c r="I10" s="23" t="s">
        <v>45</v>
      </c>
      <c r="J10" s="1" t="s">
        <v>47</v>
      </c>
      <c r="K10" s="11" t="str">
        <f>IF(tblIOL3[[#This Row],[Tag CM]]="Reserve",tblIOL3[Tag CM],CONCATENATE(tblIOL3[[#This Row],[Tag CM]],tblIOL3[[#This Row],[Postfix]]))</f>
        <v>XV003_OUT</v>
      </c>
      <c r="L10" s="11" t="str">
        <f>CONCATENATE(tblIOL3[[#This Row],[Tag Description_DCS]]," ",tblIOL3[[#This Row],[Description Postfix]])</f>
        <v>Discharge valve Command</v>
      </c>
      <c r="M10" s="6"/>
      <c r="N10" s="6"/>
      <c r="S10" s="6"/>
      <c r="T10" s="6" t="s">
        <v>28</v>
      </c>
      <c r="U10" s="11" t="s">
        <v>10</v>
      </c>
      <c r="V10" s="10" t="s">
        <v>91</v>
      </c>
      <c r="W10" s="10" t="s">
        <v>29</v>
      </c>
      <c r="X10" s="10" t="s">
        <v>32</v>
      </c>
      <c r="Y10" s="10" t="s">
        <v>33</v>
      </c>
      <c r="Z10" t="s">
        <v>40</v>
      </c>
      <c r="AA10" s="6" t="s">
        <v>43</v>
      </c>
      <c r="AB10">
        <v>1</v>
      </c>
      <c r="AC10"/>
      <c r="AD10" t="s">
        <v>41</v>
      </c>
      <c r="AE10" s="12">
        <v>2</v>
      </c>
      <c r="AF10" t="s">
        <v>74</v>
      </c>
      <c r="AG10" t="s">
        <v>50</v>
      </c>
      <c r="AH10" s="6" t="s">
        <v>78</v>
      </c>
      <c r="AI10" s="14">
        <v>3</v>
      </c>
      <c r="AJ10" s="13"/>
      <c r="AK10" s="3"/>
      <c r="AL10" s="3"/>
      <c r="AM10" s="3"/>
      <c r="AN10" s="3"/>
      <c r="AO10" s="3"/>
    </row>
    <row r="11" spans="1:41" x14ac:dyDescent="0.25">
      <c r="A11" s="8">
        <v>20</v>
      </c>
      <c r="B11" s="13" t="s">
        <v>92</v>
      </c>
      <c r="C11" s="13" t="s">
        <v>53</v>
      </c>
      <c r="D11" s="9" t="s">
        <v>44</v>
      </c>
      <c r="E11" s="9" t="str">
        <f>_xlfn.CONCAT(tblIOL3[[#This Row],[Process cell]], "/", tblIOL3[[#This Row],[Area]], "/", tblIOL3[[#This Row],[Unit PCS7]], "/CM")</f>
        <v>rIX/DE1/U010/CM</v>
      </c>
      <c r="F11" s="9" t="s">
        <v>95</v>
      </c>
      <c r="G11" s="6" t="s">
        <v>83</v>
      </c>
      <c r="H11" s="6" t="s">
        <v>21</v>
      </c>
      <c r="I11" s="23" t="s">
        <v>45</v>
      </c>
      <c r="J11" s="1" t="s">
        <v>48</v>
      </c>
      <c r="K11" s="11" t="str">
        <f>IF(tblIOL3[[#This Row],[Tag CM]]="Reserve",tblIOL3[Tag CM],CONCATENATE(tblIOL3[[#This Row],[Tag CM]],tblIOL3[[#This Row],[Postfix]]))</f>
        <v>XV004_OUT</v>
      </c>
      <c r="L11" s="11" t="str">
        <f>CONCATENATE(tblIOL3[[#This Row],[Tag Description_DCS]]," ",tblIOL3[[#This Row],[Description Postfix]])</f>
        <v>Tank inlet valve Command</v>
      </c>
      <c r="M11" s="6"/>
      <c r="N11" s="6"/>
      <c r="S11" s="6"/>
      <c r="T11" s="6" t="s">
        <v>28</v>
      </c>
      <c r="U11" s="11" t="s">
        <v>10</v>
      </c>
      <c r="V11" s="10" t="s">
        <v>91</v>
      </c>
      <c r="W11" s="10" t="s">
        <v>29</v>
      </c>
      <c r="X11" s="10" t="s">
        <v>32</v>
      </c>
      <c r="Y11" s="10" t="s">
        <v>33</v>
      </c>
      <c r="Z11" t="s">
        <v>40</v>
      </c>
      <c r="AA11" s="6" t="s">
        <v>43</v>
      </c>
      <c r="AB11">
        <v>1</v>
      </c>
      <c r="AC11"/>
      <c r="AD11" t="s">
        <v>41</v>
      </c>
      <c r="AE11" s="12">
        <v>2</v>
      </c>
      <c r="AF11" t="s">
        <v>74</v>
      </c>
      <c r="AG11" t="s">
        <v>50</v>
      </c>
      <c r="AH11" s="6" t="s">
        <v>78</v>
      </c>
      <c r="AI11" s="14">
        <v>4</v>
      </c>
      <c r="AJ11" s="13"/>
      <c r="AK11" s="3"/>
      <c r="AL11" s="3"/>
      <c r="AM11" s="3"/>
      <c r="AN11" s="3"/>
      <c r="AO11" s="3"/>
    </row>
    <row r="12" spans="1:41" x14ac:dyDescent="0.25">
      <c r="A12" s="8">
        <v>21</v>
      </c>
      <c r="B12" s="13" t="s">
        <v>92</v>
      </c>
      <c r="C12" s="13" t="s">
        <v>53</v>
      </c>
      <c r="D12" s="9" t="s">
        <v>44</v>
      </c>
      <c r="E12" s="9" t="str">
        <f>_xlfn.CONCAT(tblIOL3[[#This Row],[Process cell]], "/", tblIOL3[[#This Row],[Area]], "/", tblIOL3[[#This Row],[Unit PCS7]], "/CM")</f>
        <v>rIX/DE1/U010/CM</v>
      </c>
      <c r="F12" s="9" t="s">
        <v>95</v>
      </c>
      <c r="G12" s="6" t="s">
        <v>84</v>
      </c>
      <c r="H12" s="6" t="s">
        <v>21</v>
      </c>
      <c r="I12" s="23" t="s">
        <v>45</v>
      </c>
      <c r="J12" s="1" t="s">
        <v>49</v>
      </c>
      <c r="K12" s="11" t="str">
        <f>IF(tblIOL3[[#This Row],[Tag CM]]="Reserve",tblIOL3[Tag CM],CONCATENATE(tblIOL3[[#This Row],[Tag CM]],tblIOL3[[#This Row],[Postfix]]))</f>
        <v>XV005_OUT</v>
      </c>
      <c r="L12" s="11" t="str">
        <f>CONCATENATE(tblIOL3[[#This Row],[Tag Description_DCS]]," ",tblIOL3[[#This Row],[Description Postfix]])</f>
        <v>Vent valve Command</v>
      </c>
      <c r="M12" s="6"/>
      <c r="N12" s="6"/>
      <c r="S12" s="6"/>
      <c r="T12" s="6" t="s">
        <v>28</v>
      </c>
      <c r="U12" s="11" t="s">
        <v>10</v>
      </c>
      <c r="V12" s="10" t="s">
        <v>91</v>
      </c>
      <c r="W12" s="10" t="s">
        <v>29</v>
      </c>
      <c r="X12" s="10" t="s">
        <v>32</v>
      </c>
      <c r="Y12" s="10" t="s">
        <v>33</v>
      </c>
      <c r="Z12" t="s">
        <v>40</v>
      </c>
      <c r="AA12" s="6" t="s">
        <v>43</v>
      </c>
      <c r="AB12">
        <v>1</v>
      </c>
      <c r="AC12"/>
      <c r="AD12" t="s">
        <v>41</v>
      </c>
      <c r="AE12" s="12">
        <v>2</v>
      </c>
      <c r="AF12" t="s">
        <v>74</v>
      </c>
      <c r="AG12" t="s">
        <v>50</v>
      </c>
      <c r="AH12" s="6" t="s">
        <v>78</v>
      </c>
      <c r="AI12" s="14">
        <v>5</v>
      </c>
      <c r="AJ12" s="13"/>
      <c r="AK12" s="3"/>
      <c r="AL12" s="3"/>
      <c r="AM12" s="3"/>
      <c r="AN12" s="3"/>
      <c r="AO12" s="3"/>
    </row>
    <row r="13" spans="1:41" x14ac:dyDescent="0.25">
      <c r="A13" s="8">
        <v>22</v>
      </c>
      <c r="B13" s="13" t="s">
        <v>92</v>
      </c>
      <c r="C13" s="13" t="s">
        <v>53</v>
      </c>
      <c r="D13" s="9" t="s">
        <v>44</v>
      </c>
      <c r="E13" s="9" t="str">
        <f>_xlfn.CONCAT(tblIOL3[[#This Row],[Process cell]], "/", tblIOL3[[#This Row],[Area]], "/", tblIOL3[[#This Row],[Unit PCS7]], "/CM")</f>
        <v>rIX/DE1/U010/CM</v>
      </c>
      <c r="F13" s="9" t="s">
        <v>97</v>
      </c>
      <c r="G13" s="6" t="s">
        <v>71</v>
      </c>
      <c r="H13" s="6" t="s">
        <v>21</v>
      </c>
      <c r="I13" s="23" t="s">
        <v>45</v>
      </c>
      <c r="J13" s="1" t="s">
        <v>63</v>
      </c>
      <c r="K13" s="11" t="str">
        <f>IF(tblIOL3[[#This Row],[Tag CM]]="Reserve",tblIOL3[Tag CM],CONCATENATE(tblIOL3[[#This Row],[Tag CM]],tblIOL3[[#This Row],[Postfix]]))</f>
        <v>YC001_OUT</v>
      </c>
      <c r="L13" s="11" t="str">
        <f>CONCATENATE(tblIOL3[[#This Row],[Tag Description_DCS]]," ",tblIOL3[[#This Row],[Description Postfix]])</f>
        <v>Temperature control valve Command</v>
      </c>
      <c r="M13" s="6"/>
      <c r="N13" s="6"/>
      <c r="S13" s="6"/>
      <c r="T13" s="6" t="s">
        <v>28</v>
      </c>
      <c r="U13" s="11" t="s">
        <v>10</v>
      </c>
      <c r="V13" s="10" t="s">
        <v>91</v>
      </c>
      <c r="W13" s="10" t="s">
        <v>29</v>
      </c>
      <c r="X13" s="10" t="s">
        <v>32</v>
      </c>
      <c r="Y13" s="10" t="s">
        <v>33</v>
      </c>
      <c r="Z13" t="s">
        <v>40</v>
      </c>
      <c r="AA13" s="6" t="s">
        <v>43</v>
      </c>
      <c r="AB13">
        <v>1</v>
      </c>
      <c r="AC13"/>
      <c r="AD13" t="s">
        <v>41</v>
      </c>
      <c r="AE13" s="12">
        <v>2</v>
      </c>
      <c r="AF13" t="s">
        <v>74</v>
      </c>
      <c r="AG13" t="s">
        <v>50</v>
      </c>
      <c r="AH13" s="6" t="s">
        <v>78</v>
      </c>
      <c r="AI13" s="14">
        <v>6</v>
      </c>
      <c r="AK13"/>
      <c r="AN13" s="7"/>
      <c r="AO13" s="3"/>
    </row>
    <row r="14" spans="1:41" x14ac:dyDescent="0.25">
      <c r="A14" s="8">
        <v>23</v>
      </c>
      <c r="B14" s="13" t="s">
        <v>92</v>
      </c>
      <c r="C14" s="13" t="s">
        <v>53</v>
      </c>
      <c r="D14" s="9" t="s">
        <v>44</v>
      </c>
      <c r="E14" s="9" t="str">
        <f>_xlfn.CONCAT(tblIOL3[[#This Row],[Process cell]], "/", tblIOL3[[#This Row],[Area]], "/", tblIOL3[[#This Row],[Unit PCS7]], "/CM")</f>
        <v>rIX/DE1/U010/CM</v>
      </c>
      <c r="F14" s="9" t="s">
        <v>98</v>
      </c>
      <c r="G14" s="6" t="s">
        <v>68</v>
      </c>
      <c r="H14" s="6" t="s">
        <v>21</v>
      </c>
      <c r="I14" s="23" t="s">
        <v>45</v>
      </c>
      <c r="J14" s="1" t="s">
        <v>65</v>
      </c>
      <c r="K14" s="11" t="str">
        <f>IF(tblIOL3[[#This Row],[Tag CM]]="Reserve",tblIOL3[Tag CM],CONCATENATE(tblIOL3[[#This Row],[Tag CM]],tblIOL3[[#This Row],[Postfix]]))</f>
        <v>EU001_OUT</v>
      </c>
      <c r="L14" s="11" t="str">
        <f>CONCATENATE(tblIOL3[[#This Row],[Tag Description_DCS]]," ",tblIOL3[[#This Row],[Description Postfix]])</f>
        <v>Hotwater pump Command</v>
      </c>
      <c r="M14" s="6"/>
      <c r="N14" s="6"/>
      <c r="S14" s="6"/>
      <c r="T14" s="6"/>
      <c r="U14" s="11" t="s">
        <v>10</v>
      </c>
      <c r="V14" s="10" t="s">
        <v>91</v>
      </c>
      <c r="W14" s="10" t="s">
        <v>29</v>
      </c>
      <c r="X14" s="10" t="s">
        <v>32</v>
      </c>
      <c r="Y14" s="10" t="s">
        <v>33</v>
      </c>
      <c r="Z14" t="s">
        <v>40</v>
      </c>
      <c r="AA14" s="6" t="s">
        <v>43</v>
      </c>
      <c r="AB14">
        <v>1</v>
      </c>
      <c r="AC14"/>
      <c r="AD14" t="s">
        <v>41</v>
      </c>
      <c r="AE14" s="12">
        <v>2</v>
      </c>
      <c r="AF14" t="s">
        <v>74</v>
      </c>
      <c r="AG14" t="s">
        <v>50</v>
      </c>
      <c r="AH14" s="6" t="s">
        <v>78</v>
      </c>
      <c r="AI14" s="14">
        <v>7</v>
      </c>
      <c r="AK14"/>
      <c r="AN14" s="7"/>
      <c r="AO14" s="3"/>
    </row>
    <row r="15" spans="1:41" x14ac:dyDescent="0.25">
      <c r="A15" s="8">
        <v>33</v>
      </c>
      <c r="B15" s="13" t="s">
        <v>92</v>
      </c>
      <c r="C15" s="13" t="s">
        <v>53</v>
      </c>
      <c r="D15" s="9" t="s">
        <v>44</v>
      </c>
      <c r="E15" s="9" t="str">
        <f>_xlfn.CONCAT(tblIOL3[[#This Row],[Process cell]], "/", tblIOL3[[#This Row],[Area]], "/", tblIOL3[[#This Row],[Unit PCS7]], "/CM")</f>
        <v>rIX/DE1/U010/CM</v>
      </c>
      <c r="F15" s="9" t="s">
        <v>99</v>
      </c>
      <c r="G15" s="6" t="s">
        <v>69</v>
      </c>
      <c r="H15" s="6" t="s">
        <v>54</v>
      </c>
      <c r="I15" s="23" t="s">
        <v>55</v>
      </c>
      <c r="J15" s="1" t="s">
        <v>88</v>
      </c>
      <c r="K15" s="11" t="str">
        <f>IF(tblIOL3[[#This Row],[Tag CM]]="Reserve",tblIOL3[Tag CM],CONCATENATE(tblIOL3[[#This Row],[Tag CM]],tblIOL3[[#This Row],[Postfix]]))</f>
        <v>TT001_PV</v>
      </c>
      <c r="L15" s="11" t="str">
        <f>CONCATENATE(tblIOL3[[#This Row],[Tag Description_DCS]]," ",tblIOL3[[#This Row],[Description Postfix]])</f>
        <v>Reactor 01 temperature Process value</v>
      </c>
      <c r="M15" s="11">
        <v>0</v>
      </c>
      <c r="N15" s="6">
        <v>100</v>
      </c>
      <c r="O15" s="6" t="s">
        <v>79</v>
      </c>
      <c r="S15" s="6"/>
      <c r="T15" s="6"/>
      <c r="U15" s="11" t="s">
        <v>58</v>
      </c>
      <c r="V15" s="10" t="s">
        <v>91</v>
      </c>
      <c r="W15" s="10" t="s">
        <v>29</v>
      </c>
      <c r="X15" s="10" t="s">
        <v>32</v>
      </c>
      <c r="Y15" s="10" t="s">
        <v>33</v>
      </c>
      <c r="Z15" t="s">
        <v>40</v>
      </c>
      <c r="AA15" s="6" t="s">
        <v>43</v>
      </c>
      <c r="AB15">
        <v>1</v>
      </c>
      <c r="AC15"/>
      <c r="AD15" t="s">
        <v>41</v>
      </c>
      <c r="AE15" s="12">
        <v>3</v>
      </c>
      <c r="AF15" t="s">
        <v>75</v>
      </c>
      <c r="AG15" t="s">
        <v>56</v>
      </c>
      <c r="AH15" s="6" t="s">
        <v>58</v>
      </c>
      <c r="AI15" s="14">
        <v>1</v>
      </c>
      <c r="AJ15" s="13"/>
      <c r="AK15" s="13"/>
      <c r="AL15" s="3"/>
      <c r="AM15" s="3"/>
      <c r="AN15" s="3"/>
      <c r="AO15" s="3"/>
    </row>
    <row r="16" spans="1:41" x14ac:dyDescent="0.25">
      <c r="A16" s="8">
        <v>34</v>
      </c>
      <c r="B16" s="13" t="s">
        <v>92</v>
      </c>
      <c r="C16" s="13" t="s">
        <v>53</v>
      </c>
      <c r="D16" s="9" t="s">
        <v>44</v>
      </c>
      <c r="E16" s="9" t="str">
        <f>_xlfn.CONCAT(tblIOL3[[#This Row],[Process cell]], "/", tblIOL3[[#This Row],[Area]], "/", tblIOL3[[#This Row],[Unit PCS7]], "/CM")</f>
        <v>rIX/DE1/U010/CM</v>
      </c>
      <c r="F16" s="9" t="s">
        <v>99</v>
      </c>
      <c r="G16" s="6" t="s">
        <v>70</v>
      </c>
      <c r="H16" s="6" t="s">
        <v>54</v>
      </c>
      <c r="I16" s="23" t="s">
        <v>55</v>
      </c>
      <c r="J16" s="1" t="s">
        <v>60</v>
      </c>
      <c r="K16" s="11" t="str">
        <f>IF(tblIOL3[[#This Row],[Tag CM]]="Reserve",tblIOL3[Tag CM],CONCATENATE(tblIOL3[[#This Row],[Tag CM]],tblIOL3[[#This Row],[Postfix]]))</f>
        <v>TT002_PV</v>
      </c>
      <c r="L16" s="11" t="str">
        <f>CONCATENATE(tblIOL3[[#This Row],[Tag Description_DCS]]," ",tblIOL3[[#This Row],[Description Postfix]])</f>
        <v>Temperature loop Process value</v>
      </c>
      <c r="M16" s="6">
        <v>10</v>
      </c>
      <c r="N16" s="6">
        <v>100</v>
      </c>
      <c r="O16" s="6" t="s">
        <v>79</v>
      </c>
      <c r="S16" s="6"/>
      <c r="T16" s="6"/>
      <c r="U16" s="11" t="s">
        <v>58</v>
      </c>
      <c r="V16" s="10" t="s">
        <v>91</v>
      </c>
      <c r="W16" s="10" t="s">
        <v>29</v>
      </c>
      <c r="X16" s="10" t="s">
        <v>32</v>
      </c>
      <c r="Y16" s="10" t="s">
        <v>33</v>
      </c>
      <c r="Z16" t="s">
        <v>40</v>
      </c>
      <c r="AA16" s="6" t="s">
        <v>43</v>
      </c>
      <c r="AB16">
        <v>1</v>
      </c>
      <c r="AC16"/>
      <c r="AD16" t="s">
        <v>41</v>
      </c>
      <c r="AE16" s="12">
        <v>3</v>
      </c>
      <c r="AF16" t="s">
        <v>75</v>
      </c>
      <c r="AG16" t="s">
        <v>56</v>
      </c>
      <c r="AH16" s="6" t="s">
        <v>58</v>
      </c>
      <c r="AI16" s="14">
        <v>2</v>
      </c>
      <c r="AJ16" s="13"/>
      <c r="AK16" s="13"/>
      <c r="AL16" s="3"/>
      <c r="AM16" s="3"/>
      <c r="AN16" s="3"/>
      <c r="AO16" s="3"/>
    </row>
    <row r="17" spans="1:41" x14ac:dyDescent="0.25">
      <c r="A17" s="8">
        <v>35</v>
      </c>
      <c r="B17" s="13" t="s">
        <v>92</v>
      </c>
      <c r="C17" s="13" t="s">
        <v>53</v>
      </c>
      <c r="D17" s="9" t="s">
        <v>44</v>
      </c>
      <c r="E17" s="9" t="str">
        <f>_xlfn.CONCAT(tblIOL3[[#This Row],[Process cell]], "/", tblIOL3[[#This Row],[Area]], "/", tblIOL3[[#This Row],[Unit PCS7]], "/CM")</f>
        <v>rIX/DE1/U010/CM</v>
      </c>
      <c r="F17" s="9" t="s">
        <v>97</v>
      </c>
      <c r="G17" s="6" t="s">
        <v>71</v>
      </c>
      <c r="H17" s="6" t="s">
        <v>64</v>
      </c>
      <c r="I17" s="23" t="s">
        <v>66</v>
      </c>
      <c r="J17" s="1" t="s">
        <v>63</v>
      </c>
      <c r="K17" s="11" t="str">
        <f>IF(tblIOL3[[#This Row],[Tag CM]]="Reserve",tblIOL3[Tag CM],CONCATENATE(tblIOL3[[#This Row],[Tag CM]],tblIOL3[[#This Row],[Postfix]]))</f>
        <v>YC001_RBK</v>
      </c>
      <c r="L17" s="11" t="str">
        <f>CONCATENATE(tblIOL3[[#This Row],[Tag Description_DCS]]," ",tblIOL3[[#This Row],[Description Postfix]])</f>
        <v>Temperature control valve Readback</v>
      </c>
      <c r="M17" s="6">
        <v>0</v>
      </c>
      <c r="N17" s="6">
        <v>100</v>
      </c>
      <c r="O17" s="6" t="s">
        <v>80</v>
      </c>
      <c r="S17" s="6"/>
      <c r="T17" s="6"/>
      <c r="U17" s="11" t="s">
        <v>58</v>
      </c>
      <c r="V17" s="10" t="s">
        <v>91</v>
      </c>
      <c r="W17" s="10" t="s">
        <v>29</v>
      </c>
      <c r="X17" s="10" t="s">
        <v>32</v>
      </c>
      <c r="Y17" s="10" t="s">
        <v>33</v>
      </c>
      <c r="Z17" t="s">
        <v>40</v>
      </c>
      <c r="AA17" s="6" t="s">
        <v>43</v>
      </c>
      <c r="AB17">
        <v>1</v>
      </c>
      <c r="AC17"/>
      <c r="AD17" t="s">
        <v>41</v>
      </c>
      <c r="AE17" s="12">
        <v>3</v>
      </c>
      <c r="AF17" t="s">
        <v>75</v>
      </c>
      <c r="AG17" t="s">
        <v>56</v>
      </c>
      <c r="AH17" s="6" t="s">
        <v>58</v>
      </c>
      <c r="AI17" s="14">
        <v>3</v>
      </c>
      <c r="AJ17" s="13"/>
      <c r="AK17" s="13"/>
      <c r="AL17" s="3"/>
      <c r="AM17" s="3"/>
      <c r="AN17" s="3"/>
      <c r="AO17" s="3"/>
    </row>
    <row r="18" spans="1:41" x14ac:dyDescent="0.25">
      <c r="A18" s="8">
        <v>36</v>
      </c>
      <c r="B18" s="13" t="s">
        <v>92</v>
      </c>
      <c r="C18" s="13" t="s">
        <v>53</v>
      </c>
      <c r="D18" s="9" t="s">
        <v>44</v>
      </c>
      <c r="E18" s="9" t="str">
        <f>_xlfn.CONCAT(tblIOL3[[#This Row],[Process cell]], "/", tblIOL3[[#This Row],[Area]], "/", tblIOL3[[#This Row],[Unit PCS7]], "/CM")</f>
        <v>rIX/DE1/U010/CM</v>
      </c>
      <c r="F18" s="9" t="s">
        <v>98</v>
      </c>
      <c r="G18" s="6" t="s">
        <v>68</v>
      </c>
      <c r="H18" s="6" t="s">
        <v>64</v>
      </c>
      <c r="I18" s="23" t="s">
        <v>66</v>
      </c>
      <c r="J18" s="1" t="s">
        <v>65</v>
      </c>
      <c r="K18" s="11" t="str">
        <f>IF(tblIOL3[[#This Row],[Tag CM]]="Reserve",tblIOL3[Tag CM],CONCATENATE(tblIOL3[[#This Row],[Tag CM]],tblIOL3[[#This Row],[Postfix]]))</f>
        <v>EU001_RBK</v>
      </c>
      <c r="L18" s="11" t="str">
        <f>CONCATENATE(tblIOL3[[#This Row],[Tag Description_DCS]]," ",tblIOL3[[#This Row],[Description Postfix]])</f>
        <v>Hotwater pump Readback</v>
      </c>
      <c r="M18" s="6">
        <v>0</v>
      </c>
      <c r="N18" s="6">
        <v>1500</v>
      </c>
      <c r="O18" s="6" t="s">
        <v>81</v>
      </c>
      <c r="S18" s="6"/>
      <c r="T18" s="6"/>
      <c r="U18" s="11" t="s">
        <v>58</v>
      </c>
      <c r="V18" s="10" t="s">
        <v>91</v>
      </c>
      <c r="W18" s="10" t="s">
        <v>29</v>
      </c>
      <c r="X18" s="10" t="s">
        <v>32</v>
      </c>
      <c r="Y18" s="10" t="s">
        <v>33</v>
      </c>
      <c r="Z18" t="s">
        <v>40</v>
      </c>
      <c r="AA18" s="6" t="s">
        <v>43</v>
      </c>
      <c r="AB18">
        <v>1</v>
      </c>
      <c r="AC18"/>
      <c r="AD18" t="s">
        <v>41</v>
      </c>
      <c r="AE18" s="12">
        <v>3</v>
      </c>
      <c r="AF18" t="s">
        <v>75</v>
      </c>
      <c r="AG18" t="s">
        <v>56</v>
      </c>
      <c r="AH18" s="6" t="s">
        <v>58</v>
      </c>
      <c r="AI18" s="14">
        <v>4</v>
      </c>
      <c r="AJ18" s="13"/>
      <c r="AK18" s="13"/>
      <c r="AL18" s="3"/>
      <c r="AM18" s="3"/>
      <c r="AN18" s="3"/>
      <c r="AO18" s="3"/>
    </row>
    <row r="19" spans="1:41" x14ac:dyDescent="0.25">
      <c r="A19" s="8">
        <v>37</v>
      </c>
      <c r="B19" s="13" t="s">
        <v>92</v>
      </c>
      <c r="C19" s="13" t="s">
        <v>53</v>
      </c>
      <c r="D19" s="9" t="s">
        <v>44</v>
      </c>
      <c r="E19" s="9" t="str">
        <f>_xlfn.CONCAT(tblIOL3[[#This Row],[Process cell]], "/", tblIOL3[[#This Row],[Area]], "/", tblIOL3[[#This Row],[Unit PCS7]], "/CM")</f>
        <v>rIX/DE1/U010/CM</v>
      </c>
      <c r="F19" s="9" t="s">
        <v>97</v>
      </c>
      <c r="G19" s="6" t="s">
        <v>71</v>
      </c>
      <c r="H19" s="6" t="s">
        <v>61</v>
      </c>
      <c r="I19" s="23" t="s">
        <v>62</v>
      </c>
      <c r="J19" s="1" t="s">
        <v>63</v>
      </c>
      <c r="K19" s="11" t="str">
        <f>IF(tblIOL3[[#This Row],[Tag CM]]="Reserve",tblIOL3[Tag CM],CONCATENATE(tblIOL3[[#This Row],[Tag CM]],tblIOL3[[#This Row],[Postfix]]))</f>
        <v>YC001_SP</v>
      </c>
      <c r="L19" s="11" t="str">
        <f>CONCATENATE(tblIOL3[[#This Row],[Tag Description_DCS]]," ",tblIOL3[[#This Row],[Description Postfix]])</f>
        <v>Temperature control valve Setpoint</v>
      </c>
      <c r="M19" s="6">
        <v>0</v>
      </c>
      <c r="N19" s="6">
        <v>100</v>
      </c>
      <c r="O19" s="6" t="s">
        <v>80</v>
      </c>
      <c r="S19" s="6"/>
      <c r="T19" s="6"/>
      <c r="U19" s="11" t="s">
        <v>59</v>
      </c>
      <c r="V19" s="10" t="s">
        <v>91</v>
      </c>
      <c r="W19" s="10" t="s">
        <v>29</v>
      </c>
      <c r="X19" s="10" t="s">
        <v>32</v>
      </c>
      <c r="Y19" s="10" t="s">
        <v>33</v>
      </c>
      <c r="Z19" t="s">
        <v>40</v>
      </c>
      <c r="AA19" s="6" t="s">
        <v>43</v>
      </c>
      <c r="AB19">
        <v>1</v>
      </c>
      <c r="AC19"/>
      <c r="AD19" t="s">
        <v>41</v>
      </c>
      <c r="AE19" s="12">
        <v>4</v>
      </c>
      <c r="AF19" t="s">
        <v>76</v>
      </c>
      <c r="AG19" t="s">
        <v>57</v>
      </c>
      <c r="AH19" s="6" t="s">
        <v>59</v>
      </c>
      <c r="AI19" s="14">
        <v>1</v>
      </c>
      <c r="AJ19" s="13"/>
      <c r="AK19" s="13"/>
      <c r="AL19" s="3"/>
      <c r="AM19" s="3"/>
      <c r="AN19" s="3"/>
      <c r="AO19" s="3"/>
    </row>
    <row r="20" spans="1:41" x14ac:dyDescent="0.25">
      <c r="A20" s="8">
        <v>38</v>
      </c>
      <c r="B20" s="13" t="s">
        <v>92</v>
      </c>
      <c r="C20" s="13" t="s">
        <v>53</v>
      </c>
      <c r="D20" s="9" t="s">
        <v>44</v>
      </c>
      <c r="E20" s="9" t="str">
        <f>_xlfn.CONCAT(tblIOL3[[#This Row],[Process cell]], "/", tblIOL3[[#This Row],[Area]], "/", tblIOL3[[#This Row],[Unit PCS7]], "/CM")</f>
        <v>rIX/DE1/U010/CM</v>
      </c>
      <c r="F20" s="9" t="s">
        <v>98</v>
      </c>
      <c r="G20" s="6" t="s">
        <v>68</v>
      </c>
      <c r="H20" s="6" t="s">
        <v>61</v>
      </c>
      <c r="I20" s="23" t="s">
        <v>89</v>
      </c>
      <c r="J20" s="1" t="s">
        <v>65</v>
      </c>
      <c r="K20" s="11" t="str">
        <f>IF(tblIOL3[[#This Row],[Tag CM]]="Reserve",tblIOL3[Tag CM],CONCATENATE(tblIOL3[[#This Row],[Tag CM]],tblIOL3[[#This Row],[Postfix]]))</f>
        <v>EU001_SP</v>
      </c>
      <c r="L20" s="11" t="str">
        <f>CONCATENATE(tblIOL3[[#This Row],[Tag Description_DCS]]," ",tblIOL3[[#This Row],[Description Postfix]])</f>
        <v>Hotwater pump Speed setpoint</v>
      </c>
      <c r="M20" s="6">
        <v>0</v>
      </c>
      <c r="N20" s="6">
        <v>1500</v>
      </c>
      <c r="O20" s="6" t="s">
        <v>81</v>
      </c>
      <c r="S20" s="6"/>
      <c r="T20" s="6"/>
      <c r="U20" s="11" t="s">
        <v>59</v>
      </c>
      <c r="V20" s="10" t="s">
        <v>91</v>
      </c>
      <c r="W20" s="10" t="s">
        <v>29</v>
      </c>
      <c r="X20" s="10" t="s">
        <v>32</v>
      </c>
      <c r="Y20" s="10" t="s">
        <v>33</v>
      </c>
      <c r="Z20" t="s">
        <v>40</v>
      </c>
      <c r="AA20" s="6" t="s">
        <v>43</v>
      </c>
      <c r="AB20">
        <v>1</v>
      </c>
      <c r="AC20"/>
      <c r="AD20" t="s">
        <v>41</v>
      </c>
      <c r="AE20" s="12">
        <v>4</v>
      </c>
      <c r="AF20" t="s">
        <v>76</v>
      </c>
      <c r="AG20" t="s">
        <v>57</v>
      </c>
      <c r="AH20" s="6" t="s">
        <v>59</v>
      </c>
      <c r="AI20" s="14">
        <v>2</v>
      </c>
      <c r="AJ20" s="13"/>
      <c r="AK20" s="13"/>
      <c r="AL20" s="3"/>
      <c r="AM20" s="3"/>
      <c r="AN20" s="3"/>
      <c r="AO20" s="3"/>
    </row>
    <row r="21" spans="1:41" x14ac:dyDescent="0.25">
      <c r="A21" s="4">
        <v>1</v>
      </c>
      <c r="B21" s="5" t="s">
        <v>92</v>
      </c>
      <c r="C21" s="5" t="s">
        <v>53</v>
      </c>
      <c r="D21" s="5" t="s">
        <v>44</v>
      </c>
      <c r="E21" s="5" t="s">
        <v>104</v>
      </c>
      <c r="F21" s="5" t="s">
        <v>95</v>
      </c>
      <c r="G21" t="s">
        <v>105</v>
      </c>
      <c r="H21" s="5" t="s">
        <v>22</v>
      </c>
      <c r="I21" s="5" t="s">
        <v>90</v>
      </c>
      <c r="J21" t="s">
        <v>46</v>
      </c>
      <c r="K21" s="5" t="s">
        <v>100</v>
      </c>
      <c r="L21" s="5" t="s">
        <v>101</v>
      </c>
      <c r="U21" s="7" t="s">
        <v>9</v>
      </c>
      <c r="V21" s="2" t="s">
        <v>91</v>
      </c>
      <c r="W21" s="2" t="s">
        <v>29</v>
      </c>
      <c r="X21" s="2" t="s">
        <v>32</v>
      </c>
      <c r="Y21" s="2" t="s">
        <v>33</v>
      </c>
      <c r="Z21" s="2" t="s">
        <v>40</v>
      </c>
      <c r="AA21" s="5" t="s">
        <v>43</v>
      </c>
      <c r="AB21" s="2">
        <v>1</v>
      </c>
      <c r="AD21" s="2" t="s">
        <v>41</v>
      </c>
      <c r="AE21" s="5">
        <v>1</v>
      </c>
      <c r="AF21" s="2" t="s">
        <v>73</v>
      </c>
      <c r="AG21" s="2" t="s">
        <v>42</v>
      </c>
      <c r="AH21" s="5" t="s">
        <v>77</v>
      </c>
      <c r="AI21">
        <v>1</v>
      </c>
    </row>
    <row r="22" spans="1:41" x14ac:dyDescent="0.25">
      <c r="A22" s="4">
        <v>2</v>
      </c>
      <c r="B22" s="5" t="s">
        <v>92</v>
      </c>
      <c r="C22" s="5" t="s">
        <v>53</v>
      </c>
      <c r="D22" s="5" t="s">
        <v>44</v>
      </c>
      <c r="E22" s="5" t="s">
        <v>104</v>
      </c>
      <c r="F22" s="5" t="s">
        <v>95</v>
      </c>
      <c r="G22" t="s">
        <v>106</v>
      </c>
      <c r="H22" s="5" t="s">
        <v>22</v>
      </c>
      <c r="I22" s="5" t="s">
        <v>90</v>
      </c>
      <c r="J22" t="s">
        <v>87</v>
      </c>
      <c r="K22" s="5" t="s">
        <v>102</v>
      </c>
      <c r="L22" s="5" t="s">
        <v>103</v>
      </c>
      <c r="U22" s="7" t="s">
        <v>9</v>
      </c>
      <c r="V22" s="2" t="s">
        <v>91</v>
      </c>
      <c r="W22" s="2" t="s">
        <v>29</v>
      </c>
      <c r="X22" s="2" t="s">
        <v>32</v>
      </c>
      <c r="Y22" s="2" t="s">
        <v>33</v>
      </c>
      <c r="Z22" s="2" t="s">
        <v>40</v>
      </c>
      <c r="AA22" s="5" t="s">
        <v>43</v>
      </c>
      <c r="AB22" s="2">
        <v>1</v>
      </c>
      <c r="AD22" s="2" t="s">
        <v>41</v>
      </c>
      <c r="AE22" s="5">
        <v>1</v>
      </c>
      <c r="AF22" s="2" t="s">
        <v>73</v>
      </c>
      <c r="AG22" s="2" t="s">
        <v>42</v>
      </c>
      <c r="AH22" s="5" t="s">
        <v>77</v>
      </c>
      <c r="AI22">
        <v>2</v>
      </c>
    </row>
  </sheetData>
  <dataConsolidate/>
  <phoneticPr fontId="13" type="noConversion"/>
  <conditionalFormatting sqref="M2:AJ2 M3:U6 AJ3:AJ6 J7:U7 AG13:AI14 AG9:AJ12 AK15:AK20 I13:J13 W15:AI20 W9:AE14 W8:AJ8 W3:AI7 G13 G3:I7 G8:U12 J2:L6 A2:I2 AF9:AF20 K13:U20 G14:J20 K3:K20 V3:V20 A3:F20">
    <cfRule type="containsText" dxfId="4" priority="17" operator="containsText" text="tbd">
      <formula>NOT(ISERROR(SEARCH("tbd",A2)))</formula>
    </cfRule>
  </conditionalFormatting>
  <conditionalFormatting sqref="L15:L20 K2:K20">
    <cfRule type="duplicateValues" dxfId="0" priority="389"/>
  </conditionalFormatting>
  <conditionalFormatting sqref="K15:K20">
    <cfRule type="duplicateValues" dxfId="3" priority="391"/>
  </conditionalFormatting>
  <dataValidations disablePrompts="1" count="1">
    <dataValidation type="list" allowBlank="1" showInputMessage="1" showErrorMessage="1" sqref="U2:U14" xr:uid="{B7B6AACC-0E4B-40CF-86F9-30242A60D51D}">
      <formula1>#REF!</formula1>
    </dataValidation>
  </dataValidations>
  <pageMargins left="0.70866141732283472" right="0.70866141732283472" top="1.0236220472440944" bottom="0.78740157480314965" header="0.31496062992125984" footer="0.31496062992125984"/>
  <pageSetup paperSize="8" fitToHeight="0" orientation="landscape" r:id="rId1"/>
  <headerFooter>
    <oddHeader xml:space="preserve">&amp;L&amp;G
I/O-Liste PA077
&amp;CIO-Liste&amp;R&amp;G
Projekt: ARALAST ULV 450kg
</oddHeader>
    <oddFooter>&amp;CState: &amp;D&amp;LDokument-Nr.: VN-CECS1406-PA0077-HDS_IO
Version: 00.02 / Datum: 04 Dec 2023
Seite &amp;P/&amp;N&amp;RCopyright © Siemens AG 2023 - All Rights Reserved
VN-CECS1406-PA0077-HDS_IO.00.03.xlsm</oddFooter>
  </headerFooter>
  <legacyDrawingHF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74C56-2464-4607-B7FB-08294AE219F2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9FD9F8E21E47F40AD43E799D26C0267" ma:contentTypeVersion="17" ma:contentTypeDescription="Ein neues Dokument erstellen." ma:contentTypeScope="" ma:versionID="51d8cdaa94bacb9c994e5936f5854d56">
  <xsd:schema xmlns:xsd="http://www.w3.org/2001/XMLSchema" xmlns:xs="http://www.w3.org/2001/XMLSchema" xmlns:p="http://schemas.microsoft.com/office/2006/metadata/properties" xmlns:ns2="4f35329d-62ae-42f6-8c8a-0c359c23aa2a" xmlns:ns3="ed68b3e8-f706-4ead-8dc0-b54a78b95ecd" xmlns:ns4="56810815-8df0-4f10-8da7-34164765fbe3" targetNamespace="http://schemas.microsoft.com/office/2006/metadata/properties" ma:root="true" ma:fieldsID="fdaaa1d12d6c5d4be8491b69c411d48d" ns2:_="" ns3:_="" ns4:_="">
    <xsd:import namespace="4f35329d-62ae-42f6-8c8a-0c359c23aa2a"/>
    <xsd:import namespace="ed68b3e8-f706-4ead-8dc0-b54a78b95ecd"/>
    <xsd:import namespace="56810815-8df0-4f10-8da7-34164765fb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35329d-62ae-42f6-8c8a-0c359c23aa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e63edab7-d5f1-4c02-989a-0e8ed7c6c38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68b3e8-f706-4ead-8dc0-b54a78b95ec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810815-8df0-4f10-8da7-34164765fbe3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9293e192-e723-4120-bdc2-5468242d1c88}" ma:internalName="TaxCatchAll" ma:showField="CatchAllData" ma:web="ed68b3e8-f706-4ead-8dc0-b54a78b95e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6810815-8df0-4f10-8da7-34164765fbe3" xsi:nil="true"/>
    <lcf76f155ced4ddcb4097134ff3c332f xmlns="4f35329d-62ae-42f6-8c8a-0c359c23aa2a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322F518-87FC-48B8-AA7F-5BE60621B1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35329d-62ae-42f6-8c8a-0c359c23aa2a"/>
    <ds:schemaRef ds:uri="ed68b3e8-f706-4ead-8dc0-b54a78b95ecd"/>
    <ds:schemaRef ds:uri="56810815-8df0-4f10-8da7-34164765fb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1B4736-81AD-417F-B3E3-AC3157528E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887E91-CD8E-4C60-B199-A9CD9A451FA1}">
  <ds:schemaRefs>
    <ds:schemaRef ds:uri="http://purl.org/dc/terms/"/>
    <ds:schemaRef ds:uri="http://schemas.openxmlformats.org/package/2006/metadata/core-properties"/>
    <ds:schemaRef ds:uri="20a2517d-b7f9-48b8-a8c6-8896258bb280"/>
    <ds:schemaRef ds:uri="http://schemas.microsoft.com/office/2006/documentManagement/types"/>
    <ds:schemaRef ds:uri="56810815-8df0-4f10-8da7-34164765fbe3"/>
    <ds:schemaRef ds:uri="http://purl.org/dc/elements/1.1/"/>
    <ds:schemaRef ds:uri="http://schemas.microsoft.com/office/2006/metadata/properties"/>
    <ds:schemaRef ds:uri="http://schemas.microsoft.com/office/infopath/2007/PartnerControls"/>
    <ds:schemaRef ds:uri="70740101-cc08-4f7a-aa88-aa3f89c59143"/>
    <ds:schemaRef ds:uri="http://www.w3.org/XML/1998/namespace"/>
    <ds:schemaRef ds:uri="http://purl.org/dc/dcmitype/"/>
    <ds:schemaRef ds:uri="4f35329d-62ae-42f6-8c8a-0c359c23aa2a"/>
  </ds:schemaRefs>
</ds:datastoreItem>
</file>

<file path=customXml/itemProps4.xml><?xml version="1.0" encoding="utf-8"?>
<ds:datastoreItem xmlns:ds="http://schemas.openxmlformats.org/officeDocument/2006/customXml" ds:itemID="{7A903FD8-F071-42A3-A474-8F6A5EFD744E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6f75f480-7803-4ee9-bb54-84d0635fdbe7}" enabled="1" method="Privileged" siteId="{38ae3bcd-9579-4fd4-adda-b42e1495d55a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IO-Liste</vt:lpstr>
      <vt:lpstr>Legend</vt:lpstr>
    </vt:vector>
  </TitlesOfParts>
  <Company>Baxter Healthcare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Michael, Hager</dc:creator>
  <cp:keywords>C_Confidential</cp:keywords>
  <cp:lastModifiedBy>Pawar, Anirudh (DI PA PRJ LS)</cp:lastModifiedBy>
  <cp:lastPrinted>2023-10-18T07:33:32Z</cp:lastPrinted>
  <dcterms:created xsi:type="dcterms:W3CDTF">2015-02-09T12:38:13Z</dcterms:created>
  <dcterms:modified xsi:type="dcterms:W3CDTF">2026-06-16T12:51:44Z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-73170117</vt:i4>
  </property>
  <property fmtid="{D5CDD505-2E9C-101B-9397-08002B2CF9AE}" pid="4" name="_EmailSubject">
    <vt:lpwstr>BG058: Review Designdokumente</vt:lpwstr>
  </property>
  <property fmtid="{D5CDD505-2E9C-101B-9397-08002B2CF9AE}" pid="5" name="_AuthorEmail">
    <vt:lpwstr>helene.boehm@siemens.com</vt:lpwstr>
  </property>
  <property fmtid="{D5CDD505-2E9C-101B-9397-08002B2CF9AE}" pid="6" name="_AuthorEmailDisplayName">
    <vt:lpwstr>Boehm, Helene (RC-AT PD PA PHARM)</vt:lpwstr>
  </property>
  <property fmtid="{D5CDD505-2E9C-101B-9397-08002B2CF9AE}" pid="7" name="ContentTypeId">
    <vt:lpwstr>0x01010075D9090AEA05444A8F9BED736D6DD8FA</vt:lpwstr>
  </property>
  <property fmtid="{D5CDD505-2E9C-101B-9397-08002B2CF9AE}" pid="8" name="_ReviewingToolsShownOnce">
    <vt:lpwstr/>
  </property>
  <property fmtid="{D5CDD505-2E9C-101B-9397-08002B2CF9AE}" pid="9" name="Document Confidentiality">
    <vt:lpwstr>Confidential</vt:lpwstr>
  </property>
  <property fmtid="{D5CDD505-2E9C-101B-9397-08002B2CF9AE}" pid="10" name="PDBDataExportEnable">
    <vt:bool>true</vt:bool>
  </property>
  <property fmtid="{D5CDD505-2E9C-101B-9397-08002B2CF9AE}" pid="11" name="PDBDocumentPath">
    <vt:lpwstr>D:\</vt:lpwstr>
  </property>
  <property fmtid="{D5CDD505-2E9C-101B-9397-08002B2CF9AE}" pid="12" name="docTitle">
    <vt:lpwstr/>
  </property>
  <property fmtid="{D5CDD505-2E9C-101B-9397-08002B2CF9AE}" pid="13" name="docID">
    <vt:lpwstr/>
  </property>
  <property fmtid="{D5CDD505-2E9C-101B-9397-08002B2CF9AE}" pid="14" name="docSiemensNo">
    <vt:lpwstr/>
  </property>
  <property fmtid="{D5CDD505-2E9C-101B-9397-08002B2CF9AE}" pid="15" name="docAuthor">
    <vt:lpwstr/>
  </property>
  <property fmtid="{D5CDD505-2E9C-101B-9397-08002B2CF9AE}" pid="16" name="docStatus">
    <vt:lpwstr/>
  </property>
  <property fmtid="{D5CDD505-2E9C-101B-9397-08002B2CF9AE}" pid="17" name="docRevision">
    <vt:lpwstr/>
  </property>
  <property fmtid="{D5CDD505-2E9C-101B-9397-08002B2CF9AE}" pid="18" name="docChangeDate">
    <vt:lpwstr/>
  </property>
  <property fmtid="{D5CDD505-2E9C-101B-9397-08002B2CF9AE}" pid="19" name="keySAPID">
    <vt:lpwstr/>
  </property>
  <property fmtid="{D5CDD505-2E9C-101B-9397-08002B2CF9AE}" pid="20" name="keyPPRID">
    <vt:lpwstr/>
  </property>
  <property fmtid="{D5CDD505-2E9C-101B-9397-08002B2CF9AE}" pid="21" name="cusCustomer">
    <vt:lpwstr/>
  </property>
  <property fmtid="{D5CDD505-2E9C-101B-9397-08002B2CF9AE}" pid="22" name="cusEndCustomer">
    <vt:lpwstr/>
  </property>
  <property fmtid="{D5CDD505-2E9C-101B-9397-08002B2CF9AE}" pid="23" name="keyProjectName">
    <vt:lpwstr/>
  </property>
  <property fmtid="{D5CDD505-2E9C-101B-9397-08002B2CF9AE}" pid="24" name="cusProjectLocation">
    <vt:lpwstr/>
  </property>
  <property fmtid="{D5CDD505-2E9C-101B-9397-08002B2CF9AE}" pid="25" name="keyWorkPackage">
    <vt:lpwstr/>
  </property>
  <property fmtid="{D5CDD505-2E9C-101B-9397-08002B2CF9AE}" pid="26" name="cusSpare001">
    <vt:lpwstr/>
  </property>
  <property fmtid="{D5CDD505-2E9C-101B-9397-08002B2CF9AE}" pid="27" name="bidOfferID">
    <vt:lpwstr/>
  </property>
  <property fmtid="{D5CDD505-2E9C-101B-9397-08002B2CF9AE}" pid="28" name="bidLoAID">
    <vt:lpwstr/>
  </property>
  <property fmtid="{D5CDD505-2E9C-101B-9397-08002B2CF9AE}" pid="29" name="keySpare001">
    <vt:lpwstr/>
  </property>
  <property fmtid="{D5CDD505-2E9C-101B-9397-08002B2CF9AE}" pid="30" name="bidExpiryDate">
    <vt:lpwstr/>
  </property>
  <property fmtid="{D5CDD505-2E9C-101B-9397-08002B2CF9AE}" pid="31" name="bidSpare001">
    <vt:lpwstr/>
  </property>
  <property fmtid="{D5CDD505-2E9C-101B-9397-08002B2CF9AE}" pid="32" name="bidSpare0nn">
    <vt:lpwstr/>
  </property>
  <property fmtid="{D5CDD505-2E9C-101B-9397-08002B2CF9AE}" pid="33" name="rolBPMFullName">
    <vt:lpwstr/>
  </property>
  <property fmtid="{D5CDD505-2E9C-101B-9397-08002B2CF9AE}" pid="34" name="rolPMFullName">
    <vt:lpwstr/>
  </property>
  <property fmtid="{D5CDD505-2E9C-101B-9397-08002B2CF9AE}" pid="35" name="rolCPMFullName">
    <vt:lpwstr/>
  </property>
  <property fmtid="{D5CDD505-2E9C-101B-9397-08002B2CF9AE}" pid="36" name="rolQMiPFullName">
    <vt:lpwstr/>
  </property>
  <property fmtid="{D5CDD505-2E9C-101B-9397-08002B2CF9AE}" pid="37" name="rolTPMFullName">
    <vt:lpwstr/>
  </property>
  <property fmtid="{D5CDD505-2E9C-101B-9397-08002B2CF9AE}" pid="38" name="rolCCMFullName">
    <vt:lpwstr/>
  </property>
  <property fmtid="{D5CDD505-2E9C-101B-9397-08002B2CF9AE}" pid="39" name="rolBMFullName">
    <vt:lpwstr/>
  </property>
  <property fmtid="{D5CDD505-2E9C-101B-9397-08002B2CF9AE}" pid="40" name="docSector">
    <vt:lpwstr/>
  </property>
  <property fmtid="{D5CDD505-2E9C-101B-9397-08002B2CF9AE}" pid="41" name="docDivision">
    <vt:lpwstr/>
  </property>
  <property fmtid="{D5CDD505-2E9C-101B-9397-08002B2CF9AE}" pid="42" name="docDepartment">
    <vt:lpwstr/>
  </property>
  <property fmtid="{D5CDD505-2E9C-101B-9397-08002B2CF9AE}" pid="43" name="posCustomerLogoSheet">
    <vt:lpwstr>Cover Sheet</vt:lpwstr>
  </property>
  <property fmtid="{D5CDD505-2E9C-101B-9397-08002B2CF9AE}" pid="44" name="posCustomerLogoCell">
    <vt:lpwstr>$K$12</vt:lpwstr>
  </property>
  <property fmtid="{D5CDD505-2E9C-101B-9397-08002B2CF9AE}" pid="45" name="posCoverPictureSheet">
    <vt:lpwstr/>
  </property>
  <property fmtid="{D5CDD505-2E9C-101B-9397-08002B2CF9AE}" pid="46" name="posCoverPictureCell">
    <vt:lpwstr/>
  </property>
  <property fmtid="{D5CDD505-2E9C-101B-9397-08002B2CF9AE}" pid="47" name="propCreated">
    <vt:bool>true</vt:bool>
  </property>
  <property fmtid="{D5CDD505-2E9C-101B-9397-08002B2CF9AE}" pid="48" name="MediaServiceImageTags">
    <vt:lpwstr/>
  </property>
  <property fmtid="{D5CDD505-2E9C-101B-9397-08002B2CF9AE}" pid="49" name="MSIP_Label_6f75f480-7803-4ee9-bb54-84d0635fdbe7_Enabled">
    <vt:lpwstr>true</vt:lpwstr>
  </property>
  <property fmtid="{D5CDD505-2E9C-101B-9397-08002B2CF9AE}" pid="50" name="MSIP_Label_6f75f480-7803-4ee9-bb54-84d0635fdbe7_SetDate">
    <vt:lpwstr>2023-07-21T08:25:11Z</vt:lpwstr>
  </property>
  <property fmtid="{D5CDD505-2E9C-101B-9397-08002B2CF9AE}" pid="51" name="MSIP_Label_6f75f480-7803-4ee9-bb54-84d0635fdbe7_Method">
    <vt:lpwstr>Privileged</vt:lpwstr>
  </property>
  <property fmtid="{D5CDD505-2E9C-101B-9397-08002B2CF9AE}" pid="52" name="MSIP_Label_6f75f480-7803-4ee9-bb54-84d0635fdbe7_Name">
    <vt:lpwstr>unrestricted</vt:lpwstr>
  </property>
  <property fmtid="{D5CDD505-2E9C-101B-9397-08002B2CF9AE}" pid="53" name="MSIP_Label_6f75f480-7803-4ee9-bb54-84d0635fdbe7_SiteId">
    <vt:lpwstr>38ae3bcd-9579-4fd4-adda-b42e1495d55a</vt:lpwstr>
  </property>
  <property fmtid="{D5CDD505-2E9C-101B-9397-08002B2CF9AE}" pid="54" name="MSIP_Label_6f75f480-7803-4ee9-bb54-84d0635fdbe7_ActionId">
    <vt:lpwstr>9289fe19-f92b-4cc2-a0cf-1c4c551b8339</vt:lpwstr>
  </property>
  <property fmtid="{D5CDD505-2E9C-101B-9397-08002B2CF9AE}" pid="55" name="MSIP_Label_6f75f480-7803-4ee9-bb54-84d0635fdbe7_ContentBits">
    <vt:lpwstr>0</vt:lpwstr>
  </property>
  <property fmtid="{D5CDD505-2E9C-101B-9397-08002B2CF9AE}" pid="56" name="Document_Confidentiality">
    <vt:lpwstr>Unrestricted</vt:lpwstr>
  </property>
</Properties>
</file>